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tabRatio="770" activeTab="8"/>
  </bookViews>
  <sheets>
    <sheet name="bc_nl_kh" sheetId="21" r:id="rId1"/>
    <sheet name="loaixd" sheetId="2" r:id="rId2"/>
    <sheet name="nguon_nx" sheetId="3" r:id="rId3"/>
    <sheet name="Sheet2" sheetId="19" state="hidden" r:id="rId4"/>
    <sheet name="socai" sheetId="1" r:id="rId5"/>
    <sheet name="nhiem_vu" sheetId="14" r:id="rId6"/>
    <sheet name="bc_nxt" sheetId="10" r:id="rId7"/>
    <sheet name="pivot" sheetId="43" r:id="rId8"/>
    <sheet name="raw-data" sheetId="42" r:id="rId9"/>
  </sheets>
  <definedNames>
    <definedName name="_xlcn.WorksheetConnection_data3.xlsmctnv_tb1" hidden="1">ctnv_tb[]</definedName>
    <definedName name="_xlcn.WorksheetConnection_data3.xlsmnv_tb1" hidden="1">nv_tb[]</definedName>
    <definedName name="_xlcn.WorksheetConnection_data3.xlsmtb_loaixd21" hidden="1">tb_loaixd2[]</definedName>
    <definedName name="_xlcn.WorksheetConnection_data3.xlsmtb_nguon_nx1" hidden="1">tb_nguon_nx[]</definedName>
    <definedName name="_xlcn.WorksheetConnection_data3.xlsmteam_tb1" hidden="1">team_tb[]</definedName>
    <definedName name="ExternalData_1" localSheetId="8" hidden="1">'raw-data'!$B$2:$Q$160</definedName>
    <definedName name="postgres" localSheetId="4" hidden="1">socai!#REF!</definedName>
    <definedName name="postgres_assignment_type" localSheetId="1" hidden="1">loaixd!$P$8:$Q$10</definedName>
    <definedName name="postgres_chitiet_nhiemvu" localSheetId="5" hidden="1">nhiem_vu!$S$11:$U$59</definedName>
    <definedName name="postgres_hanmuc_nhiemvu" localSheetId="5" hidden="1">nhiem_vu!$X$11:$AD$92</definedName>
    <definedName name="postgres_ledger_details_1" localSheetId="4" hidden="1">socai!$B$3:$AY$21</definedName>
    <definedName name="postgres_ledgers" localSheetId="4" hidden="1">socai!$BD$3:$BK$18</definedName>
    <definedName name="postgres_loaixd2" localSheetId="1" hidden="1">loaixd!$B$2:$L$53</definedName>
    <definedName name="postgres_nguon_nx" localSheetId="2" hidden="1">nguon_nx!$A$1:$C$37</definedName>
    <definedName name="postgres_nhiemvu" localSheetId="5" hidden="1">nhiem_vu!$I$11:$Q$51</definedName>
    <definedName name="postgres_petroleum_type" localSheetId="1" hidden="1">loaixd!$S$8:$V$21</definedName>
    <definedName name="postgres_team" localSheetId="5" hidden="1">nhiem_vu!$D$11:$F$16</definedName>
    <definedName name="postgres_tructhuoc" localSheetId="2" hidden="1">nguon_nx!$F$4:$I$18</definedName>
  </definedNames>
  <calcPr calcId="162913"/>
  <pivotCaches>
    <pivotCache cacheId="1" r:id="rId10"/>
    <pivotCache cacheId="18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eam_tb" name="team_tb" connection="WorksheetConnection_data3.xlsm!team_tb"/>
          <x15:modelTable id="tb_nguon_nx" name="tb_nguon_nx" connection="WorksheetConnection_data3.xlsm!tb_nguon_nx"/>
          <x15:modelTable id="tb_loaixd2" name="tb_loaixd2" connection="WorksheetConnection_data3.xlsm!tb_loaixd2"/>
          <x15:modelTable id="nv_tb" name="nv_tb" connection="WorksheetConnection_data3.xlsm!nv_tb"/>
          <x15:modelTable id="ctnv_tb" name="ctnv_tb" connection="WorksheetConnection_data3.xlsm!ctnv_tb"/>
        </x15:modelTables>
        <x15:modelRelationships>
          <x15:modelRelationship fromTable="nv_tb" fromColumn="team_id" toTable="team_tb" toColumn="id"/>
          <x15:modelRelationship fromTable="ctnv_tb" fromColumn="nhiemvu_id" toTable="nv_tb" toColumn="id"/>
        </x15:modelRelationships>
      </x15:dataModel>
    </ext>
  </extLst>
</workbook>
</file>

<file path=xl/calcChain.xml><?xml version="1.0" encoding="utf-8"?>
<calcChain xmlns="http://schemas.openxmlformats.org/spreadsheetml/2006/main">
  <c r="C38" i="21" l="1"/>
  <c r="C39" i="21"/>
  <c r="C40" i="21"/>
  <c r="C41" i="21"/>
  <c r="C42" i="21"/>
  <c r="C43" i="21"/>
  <c r="C44" i="21"/>
  <c r="C28" i="21"/>
  <c r="C29" i="21"/>
  <c r="C30" i="21"/>
  <c r="C31" i="21"/>
  <c r="C32" i="21"/>
  <c r="C33" i="21"/>
  <c r="C34" i="21"/>
  <c r="C35" i="21"/>
  <c r="C36" i="21"/>
  <c r="C37" i="21"/>
  <c r="C27" i="21"/>
  <c r="H7" i="10" l="1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H6" i="10" l="1"/>
  <c r="AI9" i="10" l="1"/>
  <c r="AH9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AW9" i="10"/>
  <c r="AX9" i="10"/>
  <c r="AY9" i="10"/>
  <c r="AZ9" i="10"/>
  <c r="BA9" i="10"/>
  <c r="BB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BC10" i="10"/>
  <c r="BD10" i="10"/>
  <c r="BC11" i="10"/>
  <c r="BD11" i="10"/>
  <c r="BC9" i="10"/>
  <c r="BD9" i="10"/>
</calcChain>
</file>

<file path=xl/connections.xml><?xml version="1.0" encoding="utf-8"?>
<connections xmlns="http://schemas.openxmlformats.org/spreadsheetml/2006/main">
  <connection id="1" odcFile="C:\Users\tga\Documents\My Data Sources\postgres assignment_type.odc" name="postgres assignment_type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assignment_type&quot;"/>
  </connection>
  <connection id="2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3" odcFile="C:\Users\tga\Documents\My Data Sources\postgres chitiet_nhiemvu.odc" name="postgres chitiet_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hitiet_nhiemvu&quot;"/>
  </connection>
  <connection id="4" odcFile="C:\Users\tga\Documents\My Data Sources\postgres hanmuc_nhiemvu.odc" name="postgres hanmuc_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hanmuc_nhiemvu&quot;"/>
  </connection>
  <connection id="5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6" odcFile="C:\Users\tga\Documents\My Data Sources\postgres ledger_details.odc" name="postgres ledger_details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edger_details&quot;"/>
  </connection>
  <connection id="7" odcFile="C:\Users\tga\Documents\My Data Sources\postgres ledgers.odc" name="postgres ledgers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edgers&quot;"/>
  </connection>
  <connection id="8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9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10" odcFile="C:\Users\tga\Documents\My Data Sources\postgres nhiemvu.odc" name="postgres nhiemvu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hiemvu&quot;"/>
  </connection>
  <connection id="11" odcFile="C:\Users\tga\Documents\My Data Sources\postgres nhiemvu_reporter.odc" name="postgres nhiemvu_reporter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hiemvu_reporter&quot;"/>
  </connection>
  <connection id="12" odcFile="C:\Users\tga\Documents\My Data Sources\postgres petroleum_type.odc" name="postgres petroleum_type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petroleum_type&quot;"/>
  </connection>
  <connection id="13" odcFile="C:\Users\tga\Documents\My Data Sources\postgres team.odc" name="postgres team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eam&quot;"/>
  </connection>
  <connection id="14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15" keepAlive="1" name="Query - amount_func" description="Connection to the 'amount_func' query in the workbook." type="5" refreshedVersion="0" background="1">
    <dbPr connection="Provider=Microsoft.Mashup.OleDb.1;Data Source=$Workbook$;Location=amount_func" command="SELECT * FROM [amount_func]"/>
  </connection>
  <connection id="16" keepAlive="1" name="Query - hanmuc_nhiemvu" description="Connection to the 'hanmuc_nhiemvu' query in the workbook." type="5" refreshedVersion="0" background="1">
    <dbPr connection="Provider=Microsoft.Mashup.OleDb.1;Data Source=$Workbook$;Location=hanmuc_nhiemvu" command="SELECT * FROM [hanmuc_nhiemvu]"/>
  </connection>
  <connection id="17" keepAlive="1" name="Query - hanmuc_nhiemvu (2)" description="Connection to the 'hanmuc_nhiemvu (2)' query in the workbook." type="5" refreshedVersion="6" background="1" saveData="1">
    <dbPr connection="Provider=Microsoft.Mashup.OleDb.1;Data Source=$Workbook$;Location=hanmuc_nhiemvu (2);Extended Properties=&quot;&quot;" command="SELECT * FROM [hanmuc_nhiemvu (2)]"/>
  </connection>
  <connection id="18" keepAlive="1" name="Query - nv_tb" description="Connection to the 'nv_tb' query in the workbook." type="5" refreshedVersion="0" background="1">
    <dbPr connection="Provider=Microsoft.Mashup.OleDb.1;Data Source=$Workbook$;Location=nv_tb" command="SELECT * FROM [nv_tb]"/>
  </connection>
  <connection id="19" keepAlive="1" name="Query - tb_nguon_nx" description="Connection to the 'tb_nguon_nx' query in the workbook." type="5" refreshedVersion="0" background="1">
    <dbPr connection="Provider=Microsoft.Mashup.OleDb.1;Data Source=$Workbook$;Location=tb_nguon_nx" command="SELECT * FROM [tb_nguon_nx]"/>
  </connection>
  <connection id="20" keepAlive="1" name="Query - team_tb" description="Connection to the 'team_tb' query in the workbook." type="5" refreshedVersion="0" background="1">
    <dbPr connection="Provider=Microsoft.Mashup.OleDb.1;Data Source=$Workbook$;Location=team_tb" command="SELECT * FROM [team_tb]"/>
  </connection>
  <connection id="21" keepAlive="1" name="Query - total_func" description="Connection to the 'total_func' query in the workbook." type="5" refreshedVersion="0" background="1">
    <dbPr connection="Provider=Microsoft.Mashup.OleDb.1;Data Source=$Workbook$;Location=total_func" command="SELECT * FROM [total_func]"/>
  </connection>
  <connection id="2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3" name="WorksheetConnection_data3.xlsm!ctnv_tb" type="102" refreshedVersion="6" minRefreshableVersion="5">
    <extLst>
      <ext xmlns:x15="http://schemas.microsoft.com/office/spreadsheetml/2010/11/main" uri="{DE250136-89BD-433C-8126-D09CA5730AF9}">
        <x15:connection id="ctnv_tb">
          <x15:rangePr sourceName="_xlcn.WorksheetConnection_data3.xlsmctnv_tb1"/>
        </x15:connection>
      </ext>
    </extLst>
  </connection>
  <connection id="24" name="WorksheetConnection_data3.xlsm!nv_tb" type="102" refreshedVersion="6" minRefreshableVersion="5">
    <extLst>
      <ext xmlns:x15="http://schemas.microsoft.com/office/spreadsheetml/2010/11/main" uri="{DE250136-89BD-433C-8126-D09CA5730AF9}">
        <x15:connection id="nv_tb">
          <x15:rangePr sourceName="_xlcn.WorksheetConnection_data3.xlsmnv_tb1"/>
        </x15:connection>
      </ext>
    </extLst>
  </connection>
  <connection id="25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1"/>
        </x15:connection>
      </ext>
    </extLst>
  </connection>
  <connection id="26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1"/>
        </x15:connection>
      </ext>
    </extLst>
  </connection>
  <connection id="27" name="WorksheetConnection_data3.xlsm!team_tb" type="102" refreshedVersion="6" minRefreshableVersion="5">
    <extLst>
      <ext xmlns:x15="http://schemas.microsoft.com/office/spreadsheetml/2010/11/main" uri="{DE250136-89BD-433C-8126-D09CA5730AF9}">
        <x15:connection id="team_tb">
          <x15:rangePr sourceName="_xlcn.WorksheetConnection_data3.xlsmteam_tb1"/>
        </x15:connection>
      </ext>
    </extLst>
  </connection>
</connections>
</file>

<file path=xl/sharedStrings.xml><?xml version="1.0" encoding="utf-8"?>
<sst xmlns="http://schemas.openxmlformats.org/spreadsheetml/2006/main" count="2616" uniqueCount="453">
  <si>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</si>
  <si>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</si>
  <si>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</si>
  <si>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</si>
  <si>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</si>
  <si>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</si>
  <si>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</si>
  <si>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</si>
  <si>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</si>
  <si>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</si>
  <si>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</si>
  <si>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</si>
  <si>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</si>
  <si>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</si>
  <si>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</si>
  <si>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</si>
  <si>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</si>
  <si>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</si>
  <si>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</si>
  <si>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</si>
  <si>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</si>
  <si>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</si>
  <si>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</si>
  <si>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</si>
  <si>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</si>
  <si>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</si>
  <si>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</si>
  <si>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</si>
  <si>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</si>
  <si>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</si>
  <si>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</si>
  <si>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</si>
  <si>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</si>
  <si>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</si>
  <si>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</si>
  <si>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phuongtien_id</t>
  </si>
  <si>
    <t>phuongtien_nvu_id</t>
  </si>
  <si>
    <t>so_phut</t>
  </si>
  <si>
    <t>tonkhotong_id</t>
  </si>
  <si>
    <t>tonkho_id</t>
  </si>
  <si>
    <t>f Bộ</t>
  </si>
  <si>
    <t>XANG E5 RON92</t>
  </si>
  <si>
    <t>0</t>
  </si>
  <si>
    <t>Kho 190</t>
  </si>
  <si>
    <t>Xăng A80</t>
  </si>
  <si>
    <t>Kho 671</t>
  </si>
  <si>
    <t>Lukoi 15W-40</t>
  </si>
  <si>
    <t>Dầu MC-20</t>
  </si>
  <si>
    <t/>
  </si>
  <si>
    <t>Kho K99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</si>
  <si>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</si>
  <si>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</si>
  <si>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</si>
  <si>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</si>
  <si>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</si>
  <si>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</si>
  <si>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</si>
  <si>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</si>
  <si>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</si>
  <si>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</si>
  <si>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</si>
  <si>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</si>
  <si>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</si>
  <si>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</si>
  <si>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</si>
  <si>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</si>
  <si>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</si>
  <si>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</si>
  <si>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</si>
  <si>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</si>
  <si>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</si>
  <si>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</si>
  <si>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</si>
  <si>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</si>
  <si>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</si>
  <si>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</si>
  <si>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</si>
  <si>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</si>
  <si>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</si>
  <si>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</si>
  <si>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</si>
  <si>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</si>
  <si>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</si>
  <si>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</si>
  <si>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</si>
  <si>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</si>
  <si>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</si>
  <si>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</si>
  <si>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</si>
  <si>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</si>
  <si>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</si>
  <si>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</si>
  <si>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</si>
  <si>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</si>
  <si>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</si>
  <si>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</si>
  <si>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</si>
  <si>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</si>
  <si>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</si>
  <si>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</si>
  <si>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</si>
  <si>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</si>
  <si>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</si>
  <si>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</si>
  <si>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</si>
  <si>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</si>
  <si>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</si>
  <si>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</si>
  <si>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</si>
  <si>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</si>
  <si>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</si>
  <si>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</si>
  <si>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</si>
  <si>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</si>
  <si>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</si>
  <si>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</si>
  <si>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</si>
  <si>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</si>
  <si>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</si>
  <si>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</si>
  <si>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</si>
  <si>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</si>
  <si>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</si>
  <si>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</si>
  <si>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</si>
  <si>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</si>
  <si>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</si>
  <si>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Tiêu thụ cho xe, máy</t>
  </si>
  <si>
    <t>tt_xm</t>
  </si>
  <si>
    <t>XUAT</t>
  </si>
  <si>
    <t>Khác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</si>
  <si>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</si>
  <si>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</si>
  <si>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</si>
  <si>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</si>
  <si>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</si>
  <si>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</si>
  <si>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</si>
  <si>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</si>
  <si>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</si>
  <si>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</si>
  <si>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ten</t>
  </si>
  <si>
    <t>createtime</t>
  </si>
  <si>
    <t>2024-08-29</t>
  </si>
  <si>
    <t>Kho 661</t>
  </si>
  <si>
    <t>09-09-2024</t>
  </si>
  <si>
    <t>Kho K14 cap</t>
  </si>
  <si>
    <t>f370</t>
  </si>
  <si>
    <t>f372</t>
  </si>
  <si>
    <t>Trường SQKQ</t>
  </si>
  <si>
    <t>Bộ tham mưu</t>
  </si>
  <si>
    <t>Lữ đoàn 918</t>
  </si>
  <si>
    <t>Công ty XDQD</t>
  </si>
  <si>
    <t>Cty XD PVOil HP</t>
  </si>
  <si>
    <t>Viettel S125VT</t>
  </si>
  <si>
    <t>Đổi hàng DT</t>
  </si>
  <si>
    <t>Cty XD Minh Đức</t>
  </si>
  <si>
    <t>Mua công tác lẻ</t>
  </si>
  <si>
    <t>Cty XD Lưu Nga</t>
  </si>
  <si>
    <t>Hạch toán(NM)</t>
  </si>
  <si>
    <t>QPQT-22</t>
  </si>
  <si>
    <t>Nhà máy A32</t>
  </si>
  <si>
    <t>e921</t>
  </si>
  <si>
    <t>e916</t>
  </si>
  <si>
    <t>e923</t>
  </si>
  <si>
    <t>e927</t>
  </si>
  <si>
    <t>d Kiến An</t>
  </si>
  <si>
    <t>d Vinh</t>
  </si>
  <si>
    <t>d Nà Sản</t>
  </si>
  <si>
    <t>d Nội Bài</t>
  </si>
  <si>
    <t>Hạ cấp</t>
  </si>
  <si>
    <t>Viettel</t>
  </si>
  <si>
    <t>Dự trữ Quốc Gia</t>
  </si>
  <si>
    <t>Column Labels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</si>
  <si>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</si>
  <si>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</si>
  <si>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</si>
  <si>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</si>
  <si>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</si>
  <si>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</si>
  <si>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</si>
  <si>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</si>
  <si>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</si>
  <si>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</si>
  <si>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</si>
  <si>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</si>
  <si>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</si>
  <si>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</si>
  <si>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</si>
  <si>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</si>
  <si>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</si>
  <si>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</si>
  <si>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</si>
  <si>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</si>
  <si>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</si>
  <si>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</si>
  <si>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</si>
  <si>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</si>
  <si>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</si>
  <si>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</si>
  <si>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</si>
  <si>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</si>
  <si>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</si>
  <si>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</si>
  <si>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</si>
  <si>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</si>
  <si>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</si>
  <si>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</si>
  <si>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</si>
  <si>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</si>
  <si>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II</t>
  </si>
  <si>
    <t>a</t>
  </si>
  <si>
    <t>b</t>
  </si>
  <si>
    <t>f nội bộ</t>
  </si>
  <si>
    <t>F nội bộ</t>
  </si>
  <si>
    <t>team_code</t>
  </si>
  <si>
    <t>KHỐI KỸ THUẬT</t>
  </si>
  <si>
    <t>KHOI_KY_THUAT</t>
  </si>
  <si>
    <t>KHỐI CHÍNH TRỊ</t>
  </si>
  <si>
    <t>KHOI_CHINH_TRI</t>
  </si>
  <si>
    <t>KHỐI THAM MƯU</t>
  </si>
  <si>
    <t>KHOI_THAM_MUU</t>
  </si>
  <si>
    <t>KHỐI HẬU CẦN</t>
  </si>
  <si>
    <t>KHOI_HAU_CAN</t>
  </si>
  <si>
    <t>HAO HỤT</t>
  </si>
  <si>
    <t>HAO_HUT</t>
  </si>
  <si>
    <t>ten_nv</t>
  </si>
  <si>
    <t>chitiet</t>
  </si>
  <si>
    <t>hm_trenkhong</t>
  </si>
  <si>
    <t>hm_matdat</t>
  </si>
  <si>
    <t>team_id</t>
  </si>
  <si>
    <t>assignment_type_id</t>
  </si>
  <si>
    <t>Ô tô trạm nguồn</t>
  </si>
  <si>
    <t>Vũ khí đạn, VKHK</t>
  </si>
  <si>
    <t>Kỹ thuật thông tin</t>
  </si>
  <si>
    <t>Kỹ thuật công binh</t>
  </si>
  <si>
    <t>Tăng thiết giáp</t>
  </si>
  <si>
    <t>Đo lường</t>
  </si>
  <si>
    <t>KT Ra đa, tên lửa</t>
  </si>
  <si>
    <t>KT hàng không</t>
  </si>
  <si>
    <t>Kỹ thuạt khác</t>
  </si>
  <si>
    <t>Tác chiến, A2..</t>
  </si>
  <si>
    <t>Tác chiến cho bay</t>
  </si>
  <si>
    <t>Cứu hộ cứu nạn</t>
  </si>
  <si>
    <t>Khai thác thông tin</t>
  </si>
  <si>
    <t>Cơ yếu</t>
  </si>
  <si>
    <t>Huấn luyện chiến đấu</t>
  </si>
  <si>
    <t>HL bay</t>
  </si>
  <si>
    <t>Tác chiến điện tử</t>
  </si>
  <si>
    <t>Công nghệ thông tin</t>
  </si>
  <si>
    <t>HL nhà trường</t>
  </si>
  <si>
    <t>Công tác Quân báo</t>
  </si>
  <si>
    <t>Quân ra, vào, phép</t>
  </si>
  <si>
    <t>Đào tạo thợ</t>
  </si>
  <si>
    <t>Đ. viên thời chiến</t>
  </si>
  <si>
    <t>N.vụ khác (T tra bay)</t>
  </si>
  <si>
    <t>Công tác Đảng, CTCT</t>
  </si>
  <si>
    <t>Kiểm tra đảng</t>
  </si>
  <si>
    <t>Công tác chính sách</t>
  </si>
  <si>
    <t>Ăn dưỡng</t>
  </si>
  <si>
    <t>Nghiệp vụ cán bộ</t>
  </si>
  <si>
    <t>Hậu cần đời sống</t>
  </si>
  <si>
    <t>Công tác xăng dầu</t>
  </si>
  <si>
    <t>VC Xăng dầu</t>
  </si>
  <si>
    <t>Công tác vật tư</t>
  </si>
  <si>
    <t>Đảo hạt HC</t>
  </si>
  <si>
    <t>Hậu cần khác</t>
  </si>
  <si>
    <t>Tác chiến</t>
  </si>
  <si>
    <t>Bay nhiệm vụ</t>
  </si>
  <si>
    <t>Huấn luyện CĐ</t>
  </si>
  <si>
    <t>Bay đề cao</t>
  </si>
  <si>
    <t>Huấn luyện NT</t>
  </si>
  <si>
    <t>Nổ máy KTHK</t>
  </si>
  <si>
    <t>Bù hao hụt</t>
  </si>
  <si>
    <t>HH DTCĐ</t>
  </si>
  <si>
    <t>C.gia bay</t>
  </si>
  <si>
    <t>nhiemvu</t>
  </si>
  <si>
    <t>HH T.Xuyên</t>
  </si>
  <si>
    <t>VN bay</t>
  </si>
  <si>
    <t>Tác chiến còn lại</t>
  </si>
  <si>
    <t>Nổ máy sscđ</t>
  </si>
  <si>
    <t>HL NV còn lại</t>
  </si>
  <si>
    <t>HL NV PO 6</t>
  </si>
  <si>
    <t>CT Đảng, CTCT</t>
  </si>
  <si>
    <t>Chiếu phim</t>
  </si>
  <si>
    <t>KT Hàng không</t>
  </si>
  <si>
    <t>Cắt cỏ sân bay</t>
  </si>
  <si>
    <t>Trực thăng</t>
  </si>
  <si>
    <t>M.Đất</t>
  </si>
  <si>
    <t>MĐ</t>
  </si>
  <si>
    <t>T.không</t>
  </si>
  <si>
    <t>TK</t>
  </si>
  <si>
    <t>Calculated Field</t>
  </si>
  <si>
    <t>Solve Order</t>
  </si>
  <si>
    <t>Field</t>
  </si>
  <si>
    <t>Formula</t>
  </si>
  <si>
    <t>Calculated Item</t>
  </si>
  <si>
    <t>Item</t>
  </si>
  <si>
    <t>Note:</t>
  </si>
  <si>
    <t>When a cell is updated by more than one formula,</t>
  </si>
  <si>
    <t>the value is set by the formula with the last solve order.</t>
  </si>
  <si>
    <t>To change the solve order for multiple calculated items or fields,</t>
  </si>
  <si>
    <t>on the Options tab, in the Calculations group, click Fields, Items, &amp; Sets, and then click Solve Order.</t>
  </si>
  <si>
    <t>Cộng</t>
  </si>
  <si>
    <t>ledger_id</t>
  </si>
  <si>
    <t>import_unit_id</t>
  </si>
  <si>
    <t>export_unit_id</t>
  </si>
  <si>
    <t>loaigiobay</t>
  </si>
  <si>
    <t>09-11-2024</t>
  </si>
  <si>
    <t>07-11-2024</t>
  </si>
  <si>
    <t>08-11-2024</t>
  </si>
  <si>
    <t>Tác chiến - Bay nhiệm vụ</t>
  </si>
  <si>
    <t>13-11-2024</t>
  </si>
  <si>
    <t>15-11-2024</t>
  </si>
  <si>
    <t>MD</t>
  </si>
  <si>
    <t>Đơn vị, NV Bay</t>
  </si>
  <si>
    <t>Chỉ tiêu giờ bay, HM dầu bay</t>
  </si>
  <si>
    <t>Giờ bay</t>
  </si>
  <si>
    <t>Giờ hoạt động của đ/cơ</t>
  </si>
  <si>
    <t>T.Không</t>
  </si>
  <si>
    <t>Nhiên liệu tiêu thụ</t>
  </si>
  <si>
    <t>H.hụt</t>
  </si>
  <si>
    <t>Tổng cộng</t>
  </si>
  <si>
    <t>So sánh với KH giờ bay và HM</t>
  </si>
  <si>
    <t>N.liệu</t>
  </si>
  <si>
    <t>Còn</t>
  </si>
  <si>
    <t>Quá</t>
  </si>
  <si>
    <t>T.tế T.thụ</t>
  </si>
  <si>
    <t>Theo ĐM</t>
  </si>
  <si>
    <t>So sánh</t>
  </si>
  <si>
    <t>Rút</t>
  </si>
  <si>
    <t>T.lệ MĐ/TK</t>
  </si>
  <si>
    <t>QC PHÒNG KHÔNG - KHÔNG QUÂN 
SƯ ĐOÀN 371</t>
  </si>
  <si>
    <t>BÁO CÁO THANH TOÁN NHIÊN LIỆU BAY THEO KẾ HOẠCH
(Từ ngày 01/01 đến 31/12/2023)</t>
  </si>
  <si>
    <t>Số 1-06/XD-14</t>
  </si>
  <si>
    <t>A</t>
  </si>
  <si>
    <t>Cho Máy bay</t>
  </si>
  <si>
    <t>Su 30MK-2</t>
  </si>
  <si>
    <t>Su 22M3+4</t>
  </si>
  <si>
    <t>B</t>
  </si>
  <si>
    <t>Cộng nhiệm vụ</t>
  </si>
  <si>
    <t>Bù Hao hụt</t>
  </si>
  <si>
    <t>HH T.xuyên</t>
  </si>
  <si>
    <t>C</t>
  </si>
  <si>
    <t>Các đơn vị</t>
  </si>
  <si>
    <t>III</t>
  </si>
  <si>
    <t>-</t>
  </si>
  <si>
    <t>r_type</t>
  </si>
  <si>
    <t>ut2</t>
  </si>
  <si>
    <t>petroleum_type_id</t>
  </si>
  <si>
    <t>DMN</t>
  </si>
  <si>
    <t>XANG-OTO</t>
  </si>
  <si>
    <t>DIEZEL</t>
  </si>
  <si>
    <t>Đơn vị A38</t>
  </si>
  <si>
    <t>Nội bộ f</t>
  </si>
  <si>
    <t>DT cho NVDX</t>
  </si>
  <si>
    <t>SSCD</t>
  </si>
  <si>
    <t>NVDX</t>
  </si>
  <si>
    <t>unit_id</t>
  </si>
  <si>
    <t>ct_tk</t>
  </si>
  <si>
    <t>ct_md</t>
  </si>
  <si>
    <t>sum_ct</t>
  </si>
  <si>
    <t>consumpt</t>
  </si>
  <si>
    <t>bill_id</t>
  </si>
  <si>
    <t>amount</t>
  </si>
  <si>
    <t>from_date</t>
  </si>
  <si>
    <t>end_date</t>
  </si>
  <si>
    <t>bill_type_id</t>
  </si>
  <si>
    <t>So_cai</t>
  </si>
  <si>
    <t>Chi_tiet_so_cai</t>
  </si>
  <si>
    <t>16-11-2024</t>
  </si>
  <si>
    <t>Xuất hạn mức</t>
  </si>
  <si>
    <t>dur</t>
  </si>
  <si>
    <t>Bay đề cao - C.gia bay</t>
  </si>
  <si>
    <t>12-11-2024</t>
  </si>
  <si>
    <t>Bay đề cao - VN bay</t>
  </si>
  <si>
    <t>06-11-2024</t>
  </si>
  <si>
    <t>dur_text</t>
  </si>
  <si>
    <t>thuc_xuat_tk</t>
  </si>
  <si>
    <t>dur_text_tk</t>
  </si>
  <si>
    <t>0.00:00:00</t>
  </si>
  <si>
    <t>03:23:00</t>
  </si>
  <si>
    <t>0.03:23:00</t>
  </si>
  <si>
    <t>nhiemvu_hanmuc_id</t>
  </si>
  <si>
    <t>01-11-2024</t>
  </si>
  <si>
    <t>19-11-2024</t>
  </si>
  <si>
    <t>so_luong</t>
  </si>
  <si>
    <t>18-11-2024</t>
  </si>
  <si>
    <t>0.20:11:00</t>
  </si>
  <si>
    <t>sum_gb</t>
  </si>
  <si>
    <t>sum_thucxuat</t>
  </si>
  <si>
    <t>nhiemvu_2</t>
  </si>
  <si>
    <t>0.01:12:00</t>
  </si>
  <si>
    <t>Sum of ct_md</t>
  </si>
  <si>
    <t>Sum of ct_tk</t>
  </si>
  <si>
    <t>Sum of dur_text</t>
  </si>
  <si>
    <t>Sum of sum_ct</t>
  </si>
  <si>
    <t>Sum of dur_text_tk</t>
  </si>
  <si>
    <t>Sum of sum_gb</t>
  </si>
  <si>
    <t>Sum of thuc_xuat</t>
  </si>
  <si>
    <t>Sum of thuc_xuat_tk</t>
  </si>
  <si>
    <t>Sum of sum_thucxuat</t>
  </si>
  <si>
    <t>Total</t>
  </si>
  <si>
    <t>14-11-2024</t>
  </si>
  <si>
    <t>2929</t>
  </si>
  <si>
    <t>01:54:00</t>
  </si>
  <si>
    <t>0.01:54:00</t>
  </si>
  <si>
    <t>7737</t>
  </si>
  <si>
    <t>03:22:00</t>
  </si>
  <si>
    <t>0.03:22:00</t>
  </si>
  <si>
    <t>NHAP</t>
  </si>
  <si>
    <t>1239</t>
  </si>
  <si>
    <t>Nhập hạn mức</t>
  </si>
  <si>
    <t>04-11-2024</t>
  </si>
  <si>
    <t>1929</t>
  </si>
  <si>
    <t>23-11-2024</t>
  </si>
  <si>
    <t>1099</t>
  </si>
  <si>
    <t>02:34:00</t>
  </si>
  <si>
    <t>0.02:34:00</t>
  </si>
  <si>
    <t>1311</t>
  </si>
  <si>
    <t>03:33:00</t>
  </si>
  <si>
    <t>0.03:33:00</t>
  </si>
  <si>
    <t>3243</t>
  </si>
  <si>
    <t>02:44:00</t>
  </si>
  <si>
    <t>0.02:44:00</t>
  </si>
  <si>
    <t>9389</t>
  </si>
  <si>
    <t>4532</t>
  </si>
  <si>
    <t>03:24:00</t>
  </si>
  <si>
    <t>0.03:24:00</t>
  </si>
  <si>
    <t>1412</t>
  </si>
  <si>
    <t>04:12:00</t>
  </si>
  <si>
    <t>0.04:12:00</t>
  </si>
  <si>
    <t>3453</t>
  </si>
  <si>
    <t>4322</t>
  </si>
  <si>
    <t>03:53:00</t>
  </si>
  <si>
    <t>0.03:53:00</t>
  </si>
  <si>
    <t>7543</t>
  </si>
  <si>
    <t>01:12:00</t>
  </si>
  <si>
    <t>1111</t>
  </si>
  <si>
    <t>01:23:00</t>
  </si>
  <si>
    <t>0.01:23:00</t>
  </si>
  <si>
    <t>3792</t>
  </si>
  <si>
    <t>02:45:00</t>
  </si>
  <si>
    <t>0.02:45:00</t>
  </si>
  <si>
    <t>QC PHÒNG KHÔNG - KHÔNG QUÂN
SƯ ĐOÀN 371</t>
  </si>
  <si>
    <t>Sum of consumpt</t>
  </si>
  <si>
    <t>hao_hut</t>
  </si>
  <si>
    <t>Tong_cong</t>
  </si>
  <si>
    <t>Column1</t>
  </si>
  <si>
    <t>Column2</t>
  </si>
  <si>
    <t>Sum of hao_hut</t>
  </si>
  <si>
    <t>Sum of Tong_cong</t>
  </si>
  <si>
    <t>so 1-06/XD-14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</si>
</sst>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m/dd/yy;@"/>
    <numFmt numFmtId="165" formatCode="[h]:mm"/>
    <numFmt numFmtId="166" formatCode="d\.hh:mm:ss"/>
  </numFmts>
  <fonts count="6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  <font>
      <b/>
      <i/>
      <sz val="11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1">
    <xf numFmtId="0" fontId="0" fillId="0" borderId="0"/>
  </cellStyleXfs>
  <cellXfs count="190">
    <xf numFmtId="0" fontId="0" fillId="0" borderId="0" xfId="0"/>
    <xf numFmtId="22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vertical="center"/>
    </xf>
    <xf numFmtId="164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0" fillId="0" borderId="6" xfId="0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 applyAlignment="1">
      <alignment horizontal="left" indent="2"/>
    </xf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4" xfId="0" pivotButton="1" applyBorder="1" applyAlignment="1">
      <alignment horizontal="center"/>
    </xf>
    <xf numFmtId="164" fontId="3" fillId="0" borderId="0" xfId="0" applyNumberFormat="1" applyFont="1" applyAlignment="1">
      <alignment vertical="center" wrapText="1"/>
    </xf>
    <xf numFmtId="0" fontId="1" fillId="0" borderId="7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vertical="center" wrapText="1"/>
    </xf>
    <xf numFmtId="0" fontId="5" fillId="0" borderId="0" xfId="0" applyFont="1"/>
    <xf numFmtId="0" fontId="1" fillId="0" borderId="9" xfId="0" applyFont="1" applyBorder="1"/>
    <xf numFmtId="165" fontId="0" fillId="0" borderId="0" xfId="0" applyNumberFormat="1"/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3" xfId="0" applyFont="1" applyBorder="1" applyAlignment="1">
      <alignment horizontal="center" vertical="center"/>
    </xf>
    <xf numFmtId="0" fontId="3" fillId="0" borderId="1" xfId="0" applyFont="1" applyBorder="1"/>
    <xf numFmtId="0" fontId="3" fillId="0" borderId="14" xfId="0" applyFont="1" applyBorder="1"/>
    <xf numFmtId="0" fontId="0" fillId="0" borderId="13" xfId="0" applyBorder="1" applyAlignment="1">
      <alignment horizontal="center" vertical="center"/>
    </xf>
    <xf numFmtId="0" fontId="0" fillId="0" borderId="1" xfId="0" applyBorder="1"/>
    <xf numFmtId="0" fontId="0" fillId="0" borderId="14" xfId="0" applyBorder="1"/>
    <xf numFmtId="0" fontId="3" fillId="0" borderId="1" xfId="0" applyNumberFormat="1" applyFont="1" applyBorder="1"/>
    <xf numFmtId="0" fontId="3" fillId="0" borderId="1" xfId="0" applyFont="1" applyBorder="1" applyAlignment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13" xfId="0" quotePrefix="1" applyBorder="1" applyAlignment="1">
      <alignment horizontal="center" vertical="center"/>
    </xf>
    <xf numFmtId="165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 wrapText="1"/>
    </xf>
    <xf numFmtId="165" fontId="3" fillId="0" borderId="1" xfId="0" applyNumberFormat="1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3" fillId="0" borderId="1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/>
    </xf>
    <xf numFmtId="3" fontId="3" fillId="0" borderId="1" xfId="0" applyNumberFormat="1" applyFon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3" fontId="3" fillId="0" borderId="1" xfId="0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left" vertical="center"/>
    </xf>
    <xf numFmtId="3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/>
    </xf>
    <xf numFmtId="166" fontId="0" fillId="0" borderId="0" xfId="0" applyNumberFormat="1"/>
    <xf numFmtId="3" fontId="0" fillId="0" borderId="0" xfId="0" applyNumberFormat="1"/>
    <xf numFmtId="0" fontId="0" fillId="0" borderId="18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165" fontId="0" fillId="0" borderId="2" xfId="0" applyNumberFormat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2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3" fillId="0" borderId="1" xfId="0" applyNumberFormat="1" applyFont="1" applyBorder="1" applyAlignment="1">
      <alignment horizontal="left" vertical="center"/>
    </xf>
    <xf numFmtId="0" fontId="0" fillId="0" borderId="1" xfId="0" applyNumberFormat="1" applyFill="1" applyBorder="1" applyAlignment="1">
      <alignment horizontal="left" vertical="center"/>
    </xf>
    <xf numFmtId="0" fontId="0" fillId="0" borderId="22" xfId="0" quotePrefix="1" applyBorder="1" applyAlignment="1">
      <alignment horizontal="center" vertical="center"/>
    </xf>
    <xf numFmtId="0" fontId="0" fillId="0" borderId="23" xfId="0" quotePrefix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3" fillId="0" borderId="6" xfId="0" applyFont="1" applyBorder="1"/>
    <xf numFmtId="0" fontId="0" fillId="0" borderId="6" xfId="0" applyBorder="1"/>
    <xf numFmtId="0" fontId="0" fillId="0" borderId="5" xfId="0" applyBorder="1"/>
    <xf numFmtId="0" fontId="0" fillId="0" borderId="25" xfId="0" applyBorder="1"/>
    <xf numFmtId="0" fontId="3" fillId="0" borderId="0" xfId="0" applyFont="1" applyBorder="1"/>
    <xf numFmtId="0" fontId="0" fillId="0" borderId="0" xfId="0" applyBorder="1"/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3" fillId="0" borderId="0" xfId="0" applyFont="1" applyAlignment="1">
      <alignment horizontal="center" wrapText="1"/>
    </xf>
    <xf numFmtId="165" fontId="0" fillId="0" borderId="1" xfId="0" applyNumberFormat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5" fontId="0" fillId="0" borderId="11" xfId="0" applyNumberForma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10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5" fontId="0" fillId="0" borderId="11" xfId="0" applyNumberFormat="1" applyBorder="1" applyAlignment="1">
      <alignment vertical="center" wrapText="1"/>
    </xf>
    <xf numFmtId="165" fontId="0" fillId="0" borderId="1" xfId="0" applyNumberFormat="1" applyBorder="1" applyAlignment="1">
      <alignment vertical="center" wrapText="1"/>
    </xf>
    <xf numFmtId="165" fontId="0" fillId="0" borderId="1" xfId="0" applyNumberFormat="1" applyFont="1" applyBorder="1"/>
    <xf numFmtId="3" fontId="0" fillId="0" borderId="1" xfId="0" applyNumberFormat="1" applyFont="1" applyBorder="1"/>
    <xf numFmtId="0" fontId="0" fillId="0" borderId="1" xfId="0" applyNumberFormat="1" applyFont="1" applyBorder="1"/>
    <xf numFmtId="165" fontId="0" fillId="0" borderId="1" xfId="0" applyNumberFormat="1" applyBorder="1"/>
    <xf numFmtId="3" fontId="0" fillId="0" borderId="1" xfId="0" applyNumberFormat="1" applyBorder="1"/>
    <xf numFmtId="0" fontId="0" fillId="0" borderId="1" xfId="0" applyNumberFormat="1" applyBorder="1"/>
    <xf numFmtId="165" fontId="1" fillId="0" borderId="1" xfId="0" applyNumberFormat="1" applyFont="1" applyBorder="1"/>
    <xf numFmtId="3" fontId="1" fillId="0" borderId="1" xfId="0" applyNumberFormat="1" applyFont="1" applyBorder="1"/>
    <xf numFmtId="0" fontId="1" fillId="0" borderId="1" xfId="0" applyNumberFormat="1" applyFont="1" applyBorder="1"/>
    <xf numFmtId="0" fontId="0" fillId="0" borderId="13" xfId="0" applyBorder="1"/>
    <xf numFmtId="0" fontId="0" fillId="0" borderId="27" xfId="0" applyBorder="1"/>
    <xf numFmtId="165" fontId="0" fillId="0" borderId="15" xfId="0" applyNumberFormat="1" applyFont="1" applyBorder="1"/>
    <xf numFmtId="3" fontId="0" fillId="0" borderId="15" xfId="0" applyNumberFormat="1" applyFont="1" applyBorder="1"/>
    <xf numFmtId="0" fontId="0" fillId="0" borderId="15" xfId="0" applyNumberFormat="1" applyFont="1" applyBorder="1"/>
    <xf numFmtId="165" fontId="0" fillId="0" borderId="31" xfId="0" applyNumberFormat="1" applyBorder="1" applyAlignment="1">
      <alignment vertical="center" wrapText="1"/>
    </xf>
    <xf numFmtId="165" fontId="0" fillId="0" borderId="28" xfId="0" applyNumberFormat="1" applyBorder="1" applyAlignment="1">
      <alignment vertical="center" wrapText="1"/>
    </xf>
    <xf numFmtId="165" fontId="0" fillId="0" borderId="28" xfId="0" applyNumberFormat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165" fontId="0" fillId="0" borderId="13" xfId="0" applyNumberFormat="1" applyFont="1" applyBorder="1"/>
    <xf numFmtId="165" fontId="0" fillId="0" borderId="13" xfId="0" applyNumberFormat="1" applyBorder="1"/>
    <xf numFmtId="165" fontId="1" fillId="0" borderId="13" xfId="0" applyNumberFormat="1" applyFont="1" applyBorder="1"/>
    <xf numFmtId="165" fontId="0" fillId="0" borderId="27" xfId="0" applyNumberFormat="1" applyFont="1" applyBorder="1"/>
    <xf numFmtId="0" fontId="0" fillId="0" borderId="26" xfId="0" pivotButton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1" fillId="0" borderId="32" xfId="0" applyFont="1" applyBorder="1"/>
    <xf numFmtId="0" fontId="0" fillId="0" borderId="26" xfId="0" applyBorder="1"/>
    <xf numFmtId="0" fontId="0" fillId="0" borderId="30" xfId="0" applyBorder="1"/>
    <xf numFmtId="0" fontId="0" fillId="0" borderId="35" xfId="0" applyBorder="1"/>
    <xf numFmtId="0" fontId="0" fillId="0" borderId="36" xfId="0" applyBorder="1"/>
    <xf numFmtId="165" fontId="1" fillId="0" borderId="38" xfId="0" applyNumberFormat="1" applyFont="1" applyBorder="1"/>
    <xf numFmtId="3" fontId="1" fillId="0" borderId="38" xfId="0" applyNumberFormat="1" applyFont="1" applyBorder="1"/>
    <xf numFmtId="0" fontId="1" fillId="0" borderId="38" xfId="0" applyNumberFormat="1" applyFont="1" applyBorder="1"/>
    <xf numFmtId="0" fontId="1" fillId="0" borderId="39" xfId="0" applyNumberFormat="1" applyFont="1" applyBorder="1"/>
    <xf numFmtId="0" fontId="0" fillId="0" borderId="28" xfId="0" applyNumberFormat="1" applyFont="1" applyBorder="1"/>
    <xf numFmtId="0" fontId="0" fillId="0" borderId="28" xfId="0" applyNumberFormat="1" applyBorder="1"/>
    <xf numFmtId="0" fontId="1" fillId="0" borderId="28" xfId="0" applyNumberFormat="1" applyFont="1" applyBorder="1"/>
    <xf numFmtId="0" fontId="0" fillId="0" borderId="29" xfId="0" applyNumberFormat="1" applyFont="1" applyBorder="1"/>
    <xf numFmtId="0" fontId="3" fillId="0" borderId="28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41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36" xfId="0" pivotButton="1" applyBorder="1"/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5" fontId="1" fillId="0" borderId="37" xfId="0" applyNumberFormat="1" applyFont="1" applyBorder="1"/>
    <xf numFmtId="0" fontId="1" fillId="0" borderId="42" xfId="0" applyFont="1" applyBorder="1"/>
    <xf numFmtId="0" fontId="0" fillId="0" borderId="42" xfId="0" applyFont="1" applyBorder="1"/>
    <xf numFmtId="0" fontId="0" fillId="0" borderId="42" xfId="0" applyBorder="1"/>
  </cellXfs>
  <cellStyles count="1">
    <cellStyle name="Normal" xfId="0" builtinId="0"/>
  </cellStyles>
  <dxfs count="1661">
    <dxf>
      <numFmt numFmtId="165" formatCode="[h]:mm"/>
    </dxf>
    <dxf>
      <numFmt numFmtId="165" formatCode="[h]:mm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3" formatCode="#,##0"/>
    </dxf>
    <dxf>
      <numFmt numFmtId="165" formatCode="[h]:mm"/>
    </dxf>
    <dxf>
      <font>
        <b/>
      </font>
    </dxf>
    <dxf>
      <font>
        <b val="0"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3" formatCode="#,##0"/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/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numFmt numFmtId="165" formatCode="[h]:mm"/>
    </dxf>
    <dxf>
      <numFmt numFmtId="165" formatCode="[h]:mm"/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" formatCode="#,##0"/>
    </dxf>
    <dxf>
      <numFmt numFmtId="0" formatCode="General"/>
    </dxf>
    <dxf>
      <numFmt numFmtId="165" formatCode="[h]:mm"/>
    </dxf>
    <dxf>
      <numFmt numFmtId="0" formatCode="General"/>
    </dxf>
    <dxf>
      <numFmt numFmtId="0" formatCode="General"/>
    </dxf>
    <dxf>
      <numFmt numFmtId="165" formatCode="[h]:mm"/>
    </dxf>
    <dxf>
      <numFmt numFmtId="165" formatCode="[h]:mm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3" formatCode="#,##0"/>
    </dxf>
    <dxf>
      <numFmt numFmtId="165" formatCode="[h]:mm"/>
    </dxf>
    <dxf>
      <font>
        <b/>
      </font>
    </dxf>
    <dxf>
      <font>
        <b val="0"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3" formatCode="#,##0"/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double">
          <color auto="1"/>
        </left>
        <right style="double">
          <color auto="1"/>
        </right>
        <top style="double">
          <color auto="1"/>
        </top>
        <bottom style="double">
          <color auto="1"/>
        </bottom>
        <vertical style="thin">
          <color auto="1"/>
        </vertical>
        <horizontal style="thin">
          <color auto="1"/>
        </horizontal>
      </border>
    </dxf>
    <dxf>
      <border>
        <left/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border>
        <left style="double">
          <color indexed="64"/>
        </left>
      </border>
    </dxf>
    <dxf>
      <numFmt numFmtId="165" formatCode="[h]:mm"/>
    </dxf>
    <dxf>
      <numFmt numFmtId="165" formatCode="[h]:mm"/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right/>
        <top/>
        <vertical style="thin">
          <color auto="1"/>
        </vertical>
        <horizontal style="thin">
          <color auto="1"/>
        </horizontal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font>
        <b/>
        <i val="0"/>
      </font>
      <fill>
        <patternFill>
          <bgColor rgb="FFFFFF00"/>
        </patternFill>
      </fill>
    </dxf>
    <dxf>
      <numFmt numFmtId="0" formatCode="General"/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166" formatCode="d\.hh:mm:ss"/>
    </dxf>
    <dxf>
      <numFmt numFmtId="166" formatCode="d\.hh:mm:ss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\.hh:mm:ss"/>
    </dxf>
    <dxf>
      <numFmt numFmtId="0" formatCode="General"/>
    </dxf>
    <dxf>
      <numFmt numFmtId="166" formatCode="d\.hh:mm:ss"/>
    </dxf>
    <dxf>
      <numFmt numFmtId="165" formatCode="[h]:mm"/>
    </dxf>
    <dxf>
      <numFmt numFmtId="165" formatCode="[h]:mm"/>
    </dxf>
    <dxf>
      <numFmt numFmtId="27" formatCode="m/d/yyyy\ h:mm"/>
    </dxf>
    <dxf>
      <numFmt numFmtId="27" formatCode="m/d/yyyy\ h:mm"/>
    </dxf>
    <dxf>
      <numFmt numFmtId="19" formatCode="m/d/yyyy"/>
    </dxf>
    <dxf>
      <numFmt numFmtId="19" formatCode="m/d/yyyy"/>
    </dxf>
    <dxf>
      <numFmt numFmtId="27" formatCode="m/d/yyyy\ h:mm"/>
    </dxf>
    <dxf>
      <numFmt numFmtId="27" formatCode="m/d/yyyy\ h:mm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1660"/>
    </tableStyle>
    <tableStyle name="PivotTable Style 2" table="0" count="2">
      <tableStyleElement type="wholeTable" dxfId="1659"/>
      <tableStyleElement type="lastColumn" dxfId="165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42" Type="http://schemas.openxmlformats.org/officeDocument/2006/relationships/customXml" Target="../customXml/item2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openxmlformats.org/officeDocument/2006/relationships/customXml" Target="../customXml/item2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171450</xdr:colOff>
      <xdr:row>7</xdr:row>
      <xdr:rowOff>38100</xdr:rowOff>
    </xdr:from>
    <xdr:to>
      <xdr:col>32</xdr:col>
      <xdr:colOff>800100</xdr:colOff>
      <xdr:row>12</xdr:row>
      <xdr:rowOff>133350</xdr:rowOff>
    </xdr:to>
    <xdr:sp macro="[0]!updateNew" textlink="">
      <xdr:nvSpPr>
        <xdr:cNvPr id="2" name="Rounded Rectangle 1"/>
        <xdr:cNvSpPr/>
      </xdr:nvSpPr>
      <xdr:spPr>
        <a:xfrm>
          <a:off x="25517475" y="1390650"/>
          <a:ext cx="1171575" cy="2952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CẬP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NHẬT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ga" refreshedDate="45607.728463425927" createdVersion="6" refreshedVersion="6" minRefreshableVersion="3" recordCount="918">
  <cacheSource type="external" connectionId="5"/>
  <cacheFields count="13">
    <cacheField name="id" numFmtId="0" sqlType="4">
      <sharedItems containsSemiMixedTypes="0" containsString="0" containsNumber="1" containsInteger="1" minValue="66510" maxValue="67427"/>
    </cacheField>
    <cacheField name="loaixd" numFmtId="0" sqlType="-10">
      <sharedItems count="49">
        <s v="Xăng A80"/>
        <s v="MILPCO1-SAE40"/>
        <s v="Dầu TC-1"/>
        <s v="XANG E5 RON92"/>
        <s v="DO 0,05% S"/>
        <s v="DầU JetA-1K"/>
        <s v="Dầu JETA-01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Opalgrease No3"/>
        <s v="Dầu MC-8P"/>
        <s v="Dầu MC-20"/>
        <s v="Dầu B-3V"/>
        <s v="Dầu IPM-10"/>
        <s v="Hypôit (TC Gip)"/>
        <s v="Dầu AMG-10"/>
        <s v="Turbonicoil210A(IPM-10)"/>
        <s v="Aeroshell Fluid41(AMG-10)"/>
        <s v="Turbonicoil 321(MC8P)"/>
        <s v="Turbonicoil 35M (B3V)"/>
        <s v="Dầu 132-25"/>
        <s v="Grease28 (Mỡ 221)"/>
        <s v="Grease33 (OKB)"/>
        <s v="Grease22"/>
        <s v="OKB122-7-5"/>
        <s v="Mỡ 201"/>
        <s v="Mỡ 221"/>
        <s v="Mỡ HK-50"/>
        <s v="Mỡ số 9"/>
        <s v="Xăng CN"/>
      </sharedItems>
    </cacheField>
    <cacheField name="soluong" numFmtId="0" sqlType="-5">
      <sharedItems containsSemiMixedTypes="0" containsString="0" containsNumber="1" containsInteger="1" minValue="0" maxValue="39313" count="15">
        <n v="29969"/>
        <n v="11913"/>
        <n v="8223"/>
        <n v="12312"/>
        <n v="2343"/>
        <n v="28761"/>
        <n v="20000"/>
        <n v="1209"/>
        <n v="0"/>
        <n v="5000"/>
        <n v="24313"/>
        <n v="39313"/>
        <n v="3554"/>
        <n v="10446"/>
        <n v="2323"/>
      </sharedItems>
    </cacheField>
    <cacheField name="title_lv1" numFmtId="0" sqlType="-10">
      <sharedItems count="14">
        <s v="DT cho NV đột xuất"/>
        <s v="CXD"/>
        <s v="Trong QC"/>
        <s v="DT SSCD"/>
        <s v="Khác"/>
        <s v="Tổn thất"/>
        <s v="F nội bộ"/>
        <s v="QC"/>
        <s v="Mua P/cấp"/>
        <s v="TT Xe máy"/>
        <s v="BQ"/>
        <s v="Hao hụt"/>
        <s v="Ngoài QC"/>
        <s v="Nội bộ f" u="1"/>
      </sharedItems>
    </cacheField>
    <cacheField name="title_lv2" numFmtId="0" sqlType="-10">
      <sharedItems containsBlank="1" count="15">
        <s v="DT cho NV đột xuất"/>
        <s v="CXD"/>
        <s v="Nhập khác"/>
        <s v="DT SSCD"/>
        <s v="Khác"/>
        <s v="Tổn thất"/>
        <s v="f nội bộ"/>
        <s v="QC"/>
        <s v="Mua P/cấp"/>
        <s v="TT Xe máy"/>
        <s v="BQ"/>
        <s v="Hao hụt"/>
        <s v="Xuất khác"/>
        <m u="1"/>
        <s v="Trong QC" u="1"/>
      </sharedItems>
    </cacheField>
    <cacheField name="title_lv3" numFmtId="0" sqlType="-10">
      <sharedItems count="5">
        <s v="Tồn cuối kỳ"/>
        <s v="Nhập"/>
        <s v="Xuất"/>
        <s v="Tồn đầu kỳ"/>
        <s v="" u="1"/>
      </sharedItems>
    </cacheField>
    <cacheField name="title_lxd_lv1" numFmtId="0" sqlType="-10">
      <sharedItems containsBlank="1" count="14">
        <s v="Xăng ô tô"/>
        <s v="Dầu đ.cơ ô tô"/>
        <s v="Dầu bay"/>
        <s v="Diezel"/>
        <s v="Dầu hạ cấp"/>
        <s v="Dầu truyền động"/>
        <s v="Dầu khác"/>
        <s v="Mỡ giảm ma sát"/>
        <s v="Dầu động cơ"/>
        <s v="Dầu thủy lực"/>
        <s v="Mỡ nhờn"/>
        <s v="Dung môi"/>
        <m u="1"/>
        <s v="NL-XANG-OTO" u="1"/>
      </sharedItems>
    </cacheField>
    <cacheField name="title_lxd_lv2" numFmtId="0" sqlType="-10">
      <sharedItems containsBlank="1" count="8">
        <s v="Xăng ô tô"/>
        <s v="DMN nhờn MĐ"/>
        <s v="Dầu bay"/>
        <s v="Diezel"/>
        <s v="Dầu hạ cấp"/>
        <s v="DMN nhờn HK"/>
        <m u="1"/>
        <s v="XANG-OTO" u="1"/>
      </sharedItems>
    </cacheField>
    <cacheField name="title_lxd_lv3" numFmtId="0" sqlType="-10">
      <sharedItems containsBlank="1" count="4">
        <s v="Nhiên liệu"/>
        <s v="DM nhờn"/>
        <m u="1"/>
        <s v="NL" u="1"/>
      </sharedItems>
    </cacheField>
    <cacheField name="xd_id" numFmtId="0" sqlType="4">
      <sharedItems containsSemiMixedTypes="0" containsString="0" containsNumber="1" containsInteger="1" minValue="20" maxValue="70"/>
    </cacheField>
    <cacheField name="title_id" numFmtId="0" sqlType="4">
      <sharedItems containsSemiMixedTypes="0" containsString="0" containsNumber="1" containsInteger="1" minValue="1" maxValue="61" count="18">
        <n v="15"/>
        <n v="60"/>
        <n v="53"/>
        <n v="16"/>
        <n v="52"/>
        <n v="54"/>
        <n v="55"/>
        <n v="56"/>
        <n v="59"/>
        <n v="61"/>
        <n v="1"/>
        <n v="2"/>
        <n v="4"/>
        <n v="5"/>
        <n v="8"/>
        <n v="9"/>
        <n v="10"/>
        <n v="12"/>
      </sharedItems>
    </cacheField>
    <cacheField name="quarter_id" numFmtId="0" sqlType="4">
      <sharedItems containsSemiMixedTypes="0" containsString="0" containsNumber="1" containsInteger="1" minValue="20" maxValue="20" count="1">
        <n v="20"/>
      </sharedItems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ga" refreshedDate="45615.448569097221" createdVersion="6" refreshedVersion="6" minRefreshableVersion="3" recordCount="158">
  <cacheSource type="worksheet">
    <worksheetSource name="hanmuc_nhiemvu__2"/>
  </cacheSource>
  <cacheFields count="19">
    <cacheField name="ten" numFmtId="0">
      <sharedItems count="9">
        <s v="d Kiến An"/>
        <s v="d Nà Sản"/>
        <s v="d Nội Bài"/>
        <s v="d Vinh"/>
        <s v="e916"/>
        <s v="e921"/>
        <s v="e923"/>
        <s v="e927"/>
        <s v="f Bộ"/>
      </sharedItems>
    </cacheField>
    <cacheField name="ten_nv" numFmtId="0">
      <sharedItems count="8">
        <s v="amount"/>
        <s v="Nổ máy KTHK"/>
        <s v="Bù hao hụt"/>
        <s v="Tác chiến"/>
        <s v="Huấn luyện CĐ"/>
        <s v="Bay đề cao"/>
        <s v="Huấn luyện NT"/>
        <s v="Tổn thất"/>
      </sharedItems>
    </cacheField>
    <cacheField name="nhiemvu" numFmtId="165">
      <sharedItems count="11">
        <s v="amount"/>
        <s v="Total"/>
        <s v="Nổ máy KTHK"/>
        <s v="HH DTCĐ"/>
        <s v="HH T.Xuyên"/>
        <s v="Bay nhiệm vụ"/>
        <s v="Huấn luyện CĐ"/>
        <s v="C.gia bay"/>
        <s v="VN bay"/>
        <s v="Huấn luyện NT"/>
        <s v="Tổn thất"/>
      </sharedItems>
    </cacheField>
    <cacheField name="nhiemvu_2" numFmtId="0">
      <sharedItems count="21">
        <s v="d Kiến An"/>
        <s v="Nổ máy KTHK"/>
        <s v="Bù hao hụt"/>
        <s v="HH DTCĐ"/>
        <s v="HH T.Xuyên"/>
        <s v="Tác chiến"/>
        <s v="Bay nhiệm vụ"/>
        <s v="Huấn luyện CĐ"/>
        <s v="Bay đề cao"/>
        <s v="C.gia bay"/>
        <s v="VN bay"/>
        <s v="Huấn luyện NT"/>
        <s v="Tổn thất"/>
        <s v="d Nà Sản"/>
        <s v="d Nội Bài"/>
        <s v="d Vinh"/>
        <s v="e916"/>
        <s v="e921"/>
        <s v="e923"/>
        <s v="e927"/>
        <s v="f Bộ"/>
      </sharedItems>
    </cacheField>
    <cacheField name="consumpt" numFmtId="3">
      <sharedItems containsSemiMixedTypes="0" containsString="0" containsNumber="1" containsInteger="1" minValue="9000" maxValue="108000"/>
    </cacheField>
    <cacheField name="ct_md" numFmtId="0">
      <sharedItems containsSemiMixedTypes="0" containsString="0" containsNumber="1" minValue="0.05" maxValue="0.6"/>
    </cacheField>
    <cacheField name="ct_tk" numFmtId="0">
      <sharedItems containsSemiMixedTypes="0" containsString="0" containsNumber="1" minValue="0.84097222222222223" maxValue="10.091666666666667"/>
    </cacheField>
    <cacheField name="dur_text" numFmtId="0">
      <sharedItems containsSemiMixedTypes="0" containsString="0" containsNumber="1" minValue="0" maxValue="0.14166666666666666"/>
    </cacheField>
    <cacheField name="dur_text_tk" numFmtId="0">
      <sharedItems containsSemiMixedTypes="0" containsString="0" containsNumber="1" minValue="0" maxValue="0.4777777777777778"/>
    </cacheField>
    <cacheField name="sum_ct" numFmtId="0">
      <sharedItems containsSemiMixedTypes="0" containsString="0" containsNumber="1" minValue="0.89097222222222228" maxValue="10.691666666666666"/>
    </cacheField>
    <cacheField name="sum_gb" numFmtId="3">
      <sharedItems containsSemiMixedTypes="0" containsString="0" containsNumber="1" minValue="0" maxValue="0.54374999999999996"/>
    </cacheField>
    <cacheField name="sum_thucxuat" numFmtId="3">
      <sharedItems containsSemiMixedTypes="0" containsString="0" containsNumber="1" containsInteger="1" minValue="0" maxValue="10763"/>
    </cacheField>
    <cacheField name="thuc_xuat" numFmtId="3">
      <sharedItems containsSemiMixedTypes="0" containsString="0" containsNumber="1" containsInteger="1" minValue="0" maxValue="2421"/>
    </cacheField>
    <cacheField name="thuc_xuat_tk" numFmtId="0">
      <sharedItems containsSemiMixedTypes="0" containsString="0" containsNumber="1" containsInteger="1" minValue="0" maxValue="8342"/>
    </cacheField>
    <cacheField name="hao_hut" numFmtId="0">
      <sharedItems containsSemiMixedTypes="0" containsString="0" containsNumber="1" containsInteger="1" minValue="0" maxValue="0"/>
    </cacheField>
    <cacheField name="Tong_cong" numFmtId="0">
      <sharedItems containsSemiMixedTypes="0" containsString="0" containsNumber="1" containsInteger="1" minValue="0" maxValue="10763"/>
    </cacheField>
    <cacheField name="Column1" numFmtId="3">
      <sharedItems containsNonDate="0" containsString="0" containsBlank="1"/>
    </cacheField>
    <cacheField name="Column2" numFmtId="3">
      <sharedItems containsNonDate="0" containsString="0" containsBlank="1"/>
    </cacheField>
    <cacheField name="Rank" numFmtId="0" formula=" 1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18">
  <r>
    <n v="66544"/>
    <x v="0"/>
    <x v="0"/>
    <x v="0"/>
    <x v="0"/>
    <x v="0"/>
    <x v="0"/>
    <x v="0"/>
    <x v="0"/>
    <n v="21"/>
    <x v="0"/>
    <x v="0"/>
  </r>
  <r>
    <n v="66670"/>
    <x v="1"/>
    <x v="1"/>
    <x v="0"/>
    <x v="0"/>
    <x v="0"/>
    <x v="1"/>
    <x v="1"/>
    <x v="1"/>
    <n v="25"/>
    <x v="0"/>
    <x v="0"/>
  </r>
  <r>
    <n v="66634"/>
    <x v="2"/>
    <x v="2"/>
    <x v="0"/>
    <x v="0"/>
    <x v="0"/>
    <x v="2"/>
    <x v="2"/>
    <x v="0"/>
    <n v="37"/>
    <x v="0"/>
    <x v="0"/>
  </r>
  <r>
    <n v="66516"/>
    <x v="3"/>
    <x v="3"/>
    <x v="1"/>
    <x v="1"/>
    <x v="1"/>
    <x v="0"/>
    <x v="0"/>
    <x v="0"/>
    <n v="20"/>
    <x v="1"/>
    <x v="0"/>
  </r>
  <r>
    <n v="66534"/>
    <x v="0"/>
    <x v="3"/>
    <x v="1"/>
    <x v="1"/>
    <x v="1"/>
    <x v="0"/>
    <x v="0"/>
    <x v="0"/>
    <n v="21"/>
    <x v="1"/>
    <x v="0"/>
  </r>
  <r>
    <n v="66529"/>
    <x v="0"/>
    <x v="4"/>
    <x v="2"/>
    <x v="2"/>
    <x v="2"/>
    <x v="0"/>
    <x v="0"/>
    <x v="0"/>
    <n v="21"/>
    <x v="2"/>
    <x v="0"/>
  </r>
  <r>
    <n v="66526"/>
    <x v="3"/>
    <x v="5"/>
    <x v="0"/>
    <x v="0"/>
    <x v="0"/>
    <x v="0"/>
    <x v="0"/>
    <x v="0"/>
    <n v="20"/>
    <x v="0"/>
    <x v="0"/>
  </r>
  <r>
    <n v="66527"/>
    <x v="3"/>
    <x v="6"/>
    <x v="3"/>
    <x v="3"/>
    <x v="0"/>
    <x v="0"/>
    <x v="0"/>
    <x v="0"/>
    <n v="20"/>
    <x v="3"/>
    <x v="0"/>
  </r>
  <r>
    <n v="66511"/>
    <x v="3"/>
    <x v="7"/>
    <x v="2"/>
    <x v="2"/>
    <x v="2"/>
    <x v="0"/>
    <x v="0"/>
    <x v="0"/>
    <n v="20"/>
    <x v="2"/>
    <x v="0"/>
  </r>
  <r>
    <n v="66510"/>
    <x v="3"/>
    <x v="8"/>
    <x v="2"/>
    <x v="2"/>
    <x v="1"/>
    <x v="0"/>
    <x v="0"/>
    <x v="0"/>
    <n v="20"/>
    <x v="4"/>
    <x v="0"/>
  </r>
  <r>
    <n v="66512"/>
    <x v="3"/>
    <x v="8"/>
    <x v="4"/>
    <x v="4"/>
    <x v="1"/>
    <x v="0"/>
    <x v="0"/>
    <x v="0"/>
    <n v="20"/>
    <x v="5"/>
    <x v="0"/>
  </r>
  <r>
    <n v="66513"/>
    <x v="3"/>
    <x v="8"/>
    <x v="4"/>
    <x v="4"/>
    <x v="2"/>
    <x v="0"/>
    <x v="0"/>
    <x v="0"/>
    <n v="20"/>
    <x v="6"/>
    <x v="0"/>
  </r>
  <r>
    <n v="66514"/>
    <x v="3"/>
    <x v="8"/>
    <x v="5"/>
    <x v="5"/>
    <x v="2"/>
    <x v="0"/>
    <x v="0"/>
    <x v="0"/>
    <n v="20"/>
    <x v="7"/>
    <x v="0"/>
  </r>
  <r>
    <n v="66515"/>
    <x v="3"/>
    <x v="8"/>
    <x v="6"/>
    <x v="6"/>
    <x v="2"/>
    <x v="0"/>
    <x v="0"/>
    <x v="0"/>
    <n v="20"/>
    <x v="8"/>
    <x v="0"/>
  </r>
  <r>
    <n v="66517"/>
    <x v="3"/>
    <x v="8"/>
    <x v="1"/>
    <x v="1"/>
    <x v="2"/>
    <x v="0"/>
    <x v="0"/>
    <x v="0"/>
    <n v="20"/>
    <x v="9"/>
    <x v="0"/>
  </r>
  <r>
    <n v="66518"/>
    <x v="3"/>
    <x v="6"/>
    <x v="0"/>
    <x v="0"/>
    <x v="3"/>
    <x v="0"/>
    <x v="0"/>
    <x v="0"/>
    <n v="20"/>
    <x v="10"/>
    <x v="0"/>
  </r>
  <r>
    <n v="66519"/>
    <x v="3"/>
    <x v="6"/>
    <x v="3"/>
    <x v="3"/>
    <x v="3"/>
    <x v="0"/>
    <x v="0"/>
    <x v="0"/>
    <n v="20"/>
    <x v="11"/>
    <x v="0"/>
  </r>
  <r>
    <n v="66520"/>
    <x v="3"/>
    <x v="8"/>
    <x v="7"/>
    <x v="7"/>
    <x v="1"/>
    <x v="0"/>
    <x v="0"/>
    <x v="0"/>
    <n v="20"/>
    <x v="12"/>
    <x v="0"/>
  </r>
  <r>
    <n v="66521"/>
    <x v="3"/>
    <x v="8"/>
    <x v="8"/>
    <x v="8"/>
    <x v="1"/>
    <x v="0"/>
    <x v="0"/>
    <x v="0"/>
    <n v="20"/>
    <x v="13"/>
    <x v="0"/>
  </r>
  <r>
    <n v="66522"/>
    <x v="3"/>
    <x v="8"/>
    <x v="9"/>
    <x v="9"/>
    <x v="2"/>
    <x v="0"/>
    <x v="0"/>
    <x v="0"/>
    <n v="20"/>
    <x v="14"/>
    <x v="0"/>
  </r>
  <r>
    <n v="66523"/>
    <x v="3"/>
    <x v="8"/>
    <x v="10"/>
    <x v="10"/>
    <x v="2"/>
    <x v="0"/>
    <x v="0"/>
    <x v="0"/>
    <n v="20"/>
    <x v="15"/>
    <x v="0"/>
  </r>
  <r>
    <n v="66524"/>
    <x v="3"/>
    <x v="8"/>
    <x v="11"/>
    <x v="11"/>
    <x v="2"/>
    <x v="0"/>
    <x v="0"/>
    <x v="0"/>
    <n v="20"/>
    <x v="16"/>
    <x v="0"/>
  </r>
  <r>
    <n v="66525"/>
    <x v="3"/>
    <x v="8"/>
    <x v="12"/>
    <x v="12"/>
    <x v="2"/>
    <x v="0"/>
    <x v="0"/>
    <x v="0"/>
    <n v="20"/>
    <x v="17"/>
    <x v="0"/>
  </r>
  <r>
    <n v="66528"/>
    <x v="0"/>
    <x v="8"/>
    <x v="2"/>
    <x v="2"/>
    <x v="1"/>
    <x v="0"/>
    <x v="0"/>
    <x v="0"/>
    <n v="21"/>
    <x v="4"/>
    <x v="0"/>
  </r>
  <r>
    <n v="66530"/>
    <x v="0"/>
    <x v="8"/>
    <x v="4"/>
    <x v="4"/>
    <x v="1"/>
    <x v="0"/>
    <x v="0"/>
    <x v="0"/>
    <n v="21"/>
    <x v="5"/>
    <x v="0"/>
  </r>
  <r>
    <n v="66531"/>
    <x v="0"/>
    <x v="8"/>
    <x v="4"/>
    <x v="4"/>
    <x v="2"/>
    <x v="0"/>
    <x v="0"/>
    <x v="0"/>
    <n v="21"/>
    <x v="6"/>
    <x v="0"/>
  </r>
  <r>
    <n v="66532"/>
    <x v="0"/>
    <x v="8"/>
    <x v="5"/>
    <x v="5"/>
    <x v="2"/>
    <x v="0"/>
    <x v="0"/>
    <x v="0"/>
    <n v="21"/>
    <x v="7"/>
    <x v="0"/>
  </r>
  <r>
    <n v="66533"/>
    <x v="0"/>
    <x v="8"/>
    <x v="6"/>
    <x v="6"/>
    <x v="2"/>
    <x v="0"/>
    <x v="0"/>
    <x v="0"/>
    <n v="21"/>
    <x v="8"/>
    <x v="0"/>
  </r>
  <r>
    <n v="66535"/>
    <x v="0"/>
    <x v="8"/>
    <x v="1"/>
    <x v="1"/>
    <x v="2"/>
    <x v="0"/>
    <x v="0"/>
    <x v="0"/>
    <n v="21"/>
    <x v="9"/>
    <x v="0"/>
  </r>
  <r>
    <n v="66536"/>
    <x v="0"/>
    <x v="6"/>
    <x v="0"/>
    <x v="0"/>
    <x v="3"/>
    <x v="0"/>
    <x v="0"/>
    <x v="0"/>
    <n v="21"/>
    <x v="10"/>
    <x v="0"/>
  </r>
  <r>
    <n v="66537"/>
    <x v="0"/>
    <x v="6"/>
    <x v="3"/>
    <x v="3"/>
    <x v="3"/>
    <x v="0"/>
    <x v="0"/>
    <x v="0"/>
    <n v="21"/>
    <x v="11"/>
    <x v="0"/>
  </r>
  <r>
    <n v="66538"/>
    <x v="0"/>
    <x v="8"/>
    <x v="7"/>
    <x v="7"/>
    <x v="1"/>
    <x v="0"/>
    <x v="0"/>
    <x v="0"/>
    <n v="21"/>
    <x v="12"/>
    <x v="0"/>
  </r>
  <r>
    <n v="66539"/>
    <x v="0"/>
    <x v="8"/>
    <x v="8"/>
    <x v="8"/>
    <x v="1"/>
    <x v="0"/>
    <x v="0"/>
    <x v="0"/>
    <n v="21"/>
    <x v="13"/>
    <x v="0"/>
  </r>
  <r>
    <n v="66540"/>
    <x v="0"/>
    <x v="8"/>
    <x v="9"/>
    <x v="9"/>
    <x v="2"/>
    <x v="0"/>
    <x v="0"/>
    <x v="0"/>
    <n v="21"/>
    <x v="14"/>
    <x v="0"/>
  </r>
  <r>
    <n v="66541"/>
    <x v="0"/>
    <x v="8"/>
    <x v="10"/>
    <x v="10"/>
    <x v="2"/>
    <x v="0"/>
    <x v="0"/>
    <x v="0"/>
    <n v="21"/>
    <x v="15"/>
    <x v="0"/>
  </r>
  <r>
    <n v="66542"/>
    <x v="0"/>
    <x v="8"/>
    <x v="11"/>
    <x v="11"/>
    <x v="2"/>
    <x v="0"/>
    <x v="0"/>
    <x v="0"/>
    <n v="21"/>
    <x v="16"/>
    <x v="0"/>
  </r>
  <r>
    <n v="66543"/>
    <x v="0"/>
    <x v="8"/>
    <x v="12"/>
    <x v="12"/>
    <x v="2"/>
    <x v="0"/>
    <x v="0"/>
    <x v="0"/>
    <n v="21"/>
    <x v="17"/>
    <x v="0"/>
  </r>
  <r>
    <n v="66546"/>
    <x v="4"/>
    <x v="8"/>
    <x v="2"/>
    <x v="2"/>
    <x v="1"/>
    <x v="3"/>
    <x v="3"/>
    <x v="0"/>
    <n v="22"/>
    <x v="4"/>
    <x v="0"/>
  </r>
  <r>
    <n v="66548"/>
    <x v="4"/>
    <x v="8"/>
    <x v="4"/>
    <x v="4"/>
    <x v="1"/>
    <x v="3"/>
    <x v="3"/>
    <x v="0"/>
    <n v="22"/>
    <x v="5"/>
    <x v="0"/>
  </r>
  <r>
    <n v="66549"/>
    <x v="4"/>
    <x v="8"/>
    <x v="4"/>
    <x v="4"/>
    <x v="2"/>
    <x v="3"/>
    <x v="3"/>
    <x v="0"/>
    <n v="22"/>
    <x v="6"/>
    <x v="0"/>
  </r>
  <r>
    <n v="66550"/>
    <x v="4"/>
    <x v="8"/>
    <x v="5"/>
    <x v="5"/>
    <x v="2"/>
    <x v="3"/>
    <x v="3"/>
    <x v="0"/>
    <n v="22"/>
    <x v="7"/>
    <x v="0"/>
  </r>
  <r>
    <n v="66551"/>
    <x v="4"/>
    <x v="8"/>
    <x v="6"/>
    <x v="6"/>
    <x v="2"/>
    <x v="3"/>
    <x v="3"/>
    <x v="0"/>
    <n v="22"/>
    <x v="8"/>
    <x v="0"/>
  </r>
  <r>
    <n v="66553"/>
    <x v="4"/>
    <x v="8"/>
    <x v="1"/>
    <x v="1"/>
    <x v="2"/>
    <x v="3"/>
    <x v="3"/>
    <x v="0"/>
    <n v="22"/>
    <x v="9"/>
    <x v="0"/>
  </r>
  <r>
    <n v="66554"/>
    <x v="4"/>
    <x v="6"/>
    <x v="0"/>
    <x v="0"/>
    <x v="3"/>
    <x v="3"/>
    <x v="3"/>
    <x v="0"/>
    <n v="22"/>
    <x v="10"/>
    <x v="0"/>
  </r>
  <r>
    <n v="66555"/>
    <x v="4"/>
    <x v="6"/>
    <x v="3"/>
    <x v="3"/>
    <x v="3"/>
    <x v="3"/>
    <x v="3"/>
    <x v="0"/>
    <n v="22"/>
    <x v="11"/>
    <x v="0"/>
  </r>
  <r>
    <n v="66556"/>
    <x v="4"/>
    <x v="8"/>
    <x v="7"/>
    <x v="7"/>
    <x v="1"/>
    <x v="3"/>
    <x v="3"/>
    <x v="0"/>
    <n v="22"/>
    <x v="12"/>
    <x v="0"/>
  </r>
  <r>
    <n v="66557"/>
    <x v="4"/>
    <x v="8"/>
    <x v="8"/>
    <x v="8"/>
    <x v="1"/>
    <x v="3"/>
    <x v="3"/>
    <x v="0"/>
    <n v="22"/>
    <x v="13"/>
    <x v="0"/>
  </r>
  <r>
    <n v="66558"/>
    <x v="4"/>
    <x v="8"/>
    <x v="9"/>
    <x v="9"/>
    <x v="2"/>
    <x v="3"/>
    <x v="3"/>
    <x v="0"/>
    <n v="22"/>
    <x v="14"/>
    <x v="0"/>
  </r>
  <r>
    <n v="66559"/>
    <x v="4"/>
    <x v="8"/>
    <x v="10"/>
    <x v="10"/>
    <x v="2"/>
    <x v="3"/>
    <x v="3"/>
    <x v="0"/>
    <n v="22"/>
    <x v="15"/>
    <x v="0"/>
  </r>
  <r>
    <n v="66560"/>
    <x v="4"/>
    <x v="8"/>
    <x v="11"/>
    <x v="11"/>
    <x v="2"/>
    <x v="3"/>
    <x v="3"/>
    <x v="0"/>
    <n v="22"/>
    <x v="16"/>
    <x v="0"/>
  </r>
  <r>
    <n v="66561"/>
    <x v="4"/>
    <x v="8"/>
    <x v="12"/>
    <x v="12"/>
    <x v="2"/>
    <x v="3"/>
    <x v="3"/>
    <x v="0"/>
    <n v="22"/>
    <x v="17"/>
    <x v="0"/>
  </r>
  <r>
    <n v="66564"/>
    <x v="2"/>
    <x v="8"/>
    <x v="2"/>
    <x v="2"/>
    <x v="1"/>
    <x v="4"/>
    <x v="4"/>
    <x v="0"/>
    <n v="23"/>
    <x v="4"/>
    <x v="0"/>
  </r>
  <r>
    <n v="66565"/>
    <x v="2"/>
    <x v="8"/>
    <x v="2"/>
    <x v="2"/>
    <x v="2"/>
    <x v="4"/>
    <x v="4"/>
    <x v="0"/>
    <n v="23"/>
    <x v="2"/>
    <x v="0"/>
  </r>
  <r>
    <n v="66566"/>
    <x v="2"/>
    <x v="8"/>
    <x v="4"/>
    <x v="4"/>
    <x v="1"/>
    <x v="4"/>
    <x v="4"/>
    <x v="0"/>
    <n v="23"/>
    <x v="5"/>
    <x v="0"/>
  </r>
  <r>
    <n v="66567"/>
    <x v="2"/>
    <x v="8"/>
    <x v="4"/>
    <x v="4"/>
    <x v="2"/>
    <x v="4"/>
    <x v="4"/>
    <x v="0"/>
    <n v="23"/>
    <x v="6"/>
    <x v="0"/>
  </r>
  <r>
    <n v="66568"/>
    <x v="2"/>
    <x v="8"/>
    <x v="5"/>
    <x v="5"/>
    <x v="2"/>
    <x v="4"/>
    <x v="4"/>
    <x v="0"/>
    <n v="23"/>
    <x v="7"/>
    <x v="0"/>
  </r>
  <r>
    <n v="66569"/>
    <x v="2"/>
    <x v="8"/>
    <x v="6"/>
    <x v="6"/>
    <x v="2"/>
    <x v="4"/>
    <x v="4"/>
    <x v="0"/>
    <n v="23"/>
    <x v="8"/>
    <x v="0"/>
  </r>
  <r>
    <n v="66570"/>
    <x v="2"/>
    <x v="8"/>
    <x v="1"/>
    <x v="1"/>
    <x v="1"/>
    <x v="4"/>
    <x v="4"/>
    <x v="0"/>
    <n v="23"/>
    <x v="1"/>
    <x v="0"/>
  </r>
  <r>
    <n v="66571"/>
    <x v="2"/>
    <x v="8"/>
    <x v="1"/>
    <x v="1"/>
    <x v="2"/>
    <x v="4"/>
    <x v="4"/>
    <x v="0"/>
    <n v="23"/>
    <x v="9"/>
    <x v="0"/>
  </r>
  <r>
    <n v="66572"/>
    <x v="2"/>
    <x v="6"/>
    <x v="0"/>
    <x v="0"/>
    <x v="3"/>
    <x v="4"/>
    <x v="4"/>
    <x v="0"/>
    <n v="23"/>
    <x v="10"/>
    <x v="0"/>
  </r>
  <r>
    <n v="66573"/>
    <x v="2"/>
    <x v="6"/>
    <x v="3"/>
    <x v="3"/>
    <x v="3"/>
    <x v="4"/>
    <x v="4"/>
    <x v="0"/>
    <n v="23"/>
    <x v="11"/>
    <x v="0"/>
  </r>
  <r>
    <n v="66574"/>
    <x v="2"/>
    <x v="8"/>
    <x v="7"/>
    <x v="7"/>
    <x v="1"/>
    <x v="4"/>
    <x v="4"/>
    <x v="0"/>
    <n v="23"/>
    <x v="12"/>
    <x v="0"/>
  </r>
  <r>
    <n v="66575"/>
    <x v="2"/>
    <x v="8"/>
    <x v="8"/>
    <x v="8"/>
    <x v="1"/>
    <x v="4"/>
    <x v="4"/>
    <x v="0"/>
    <n v="23"/>
    <x v="13"/>
    <x v="0"/>
  </r>
  <r>
    <n v="66576"/>
    <x v="2"/>
    <x v="8"/>
    <x v="9"/>
    <x v="9"/>
    <x v="2"/>
    <x v="4"/>
    <x v="4"/>
    <x v="0"/>
    <n v="23"/>
    <x v="14"/>
    <x v="0"/>
  </r>
  <r>
    <n v="66577"/>
    <x v="2"/>
    <x v="8"/>
    <x v="10"/>
    <x v="10"/>
    <x v="2"/>
    <x v="4"/>
    <x v="4"/>
    <x v="0"/>
    <n v="23"/>
    <x v="15"/>
    <x v="0"/>
  </r>
  <r>
    <n v="66578"/>
    <x v="2"/>
    <x v="8"/>
    <x v="11"/>
    <x v="11"/>
    <x v="2"/>
    <x v="4"/>
    <x v="4"/>
    <x v="0"/>
    <n v="23"/>
    <x v="16"/>
    <x v="0"/>
  </r>
  <r>
    <n v="66579"/>
    <x v="2"/>
    <x v="8"/>
    <x v="12"/>
    <x v="12"/>
    <x v="2"/>
    <x v="4"/>
    <x v="4"/>
    <x v="0"/>
    <n v="23"/>
    <x v="17"/>
    <x v="0"/>
  </r>
  <r>
    <n v="66580"/>
    <x v="2"/>
    <x v="6"/>
    <x v="0"/>
    <x v="0"/>
    <x v="0"/>
    <x v="4"/>
    <x v="4"/>
    <x v="0"/>
    <n v="23"/>
    <x v="0"/>
    <x v="0"/>
  </r>
  <r>
    <n v="66581"/>
    <x v="2"/>
    <x v="6"/>
    <x v="3"/>
    <x v="3"/>
    <x v="0"/>
    <x v="4"/>
    <x v="4"/>
    <x v="0"/>
    <n v="23"/>
    <x v="3"/>
    <x v="0"/>
  </r>
  <r>
    <n v="66582"/>
    <x v="5"/>
    <x v="8"/>
    <x v="2"/>
    <x v="2"/>
    <x v="1"/>
    <x v="4"/>
    <x v="4"/>
    <x v="0"/>
    <n v="24"/>
    <x v="4"/>
    <x v="0"/>
  </r>
  <r>
    <n v="66583"/>
    <x v="5"/>
    <x v="8"/>
    <x v="2"/>
    <x v="2"/>
    <x v="2"/>
    <x v="4"/>
    <x v="4"/>
    <x v="0"/>
    <n v="24"/>
    <x v="2"/>
    <x v="0"/>
  </r>
  <r>
    <n v="66584"/>
    <x v="5"/>
    <x v="8"/>
    <x v="4"/>
    <x v="4"/>
    <x v="1"/>
    <x v="4"/>
    <x v="4"/>
    <x v="0"/>
    <n v="24"/>
    <x v="5"/>
    <x v="0"/>
  </r>
  <r>
    <n v="66585"/>
    <x v="5"/>
    <x v="8"/>
    <x v="4"/>
    <x v="4"/>
    <x v="2"/>
    <x v="4"/>
    <x v="4"/>
    <x v="0"/>
    <n v="24"/>
    <x v="6"/>
    <x v="0"/>
  </r>
  <r>
    <n v="66586"/>
    <x v="5"/>
    <x v="8"/>
    <x v="5"/>
    <x v="5"/>
    <x v="2"/>
    <x v="4"/>
    <x v="4"/>
    <x v="0"/>
    <n v="24"/>
    <x v="7"/>
    <x v="0"/>
  </r>
  <r>
    <n v="66587"/>
    <x v="5"/>
    <x v="8"/>
    <x v="6"/>
    <x v="6"/>
    <x v="2"/>
    <x v="4"/>
    <x v="4"/>
    <x v="0"/>
    <n v="24"/>
    <x v="8"/>
    <x v="0"/>
  </r>
  <r>
    <n v="66588"/>
    <x v="5"/>
    <x v="8"/>
    <x v="1"/>
    <x v="1"/>
    <x v="1"/>
    <x v="4"/>
    <x v="4"/>
    <x v="0"/>
    <n v="24"/>
    <x v="1"/>
    <x v="0"/>
  </r>
  <r>
    <n v="66589"/>
    <x v="5"/>
    <x v="8"/>
    <x v="1"/>
    <x v="1"/>
    <x v="2"/>
    <x v="4"/>
    <x v="4"/>
    <x v="0"/>
    <n v="24"/>
    <x v="9"/>
    <x v="0"/>
  </r>
  <r>
    <n v="66590"/>
    <x v="5"/>
    <x v="6"/>
    <x v="0"/>
    <x v="0"/>
    <x v="3"/>
    <x v="4"/>
    <x v="4"/>
    <x v="0"/>
    <n v="24"/>
    <x v="10"/>
    <x v="0"/>
  </r>
  <r>
    <n v="66591"/>
    <x v="5"/>
    <x v="6"/>
    <x v="3"/>
    <x v="3"/>
    <x v="3"/>
    <x v="4"/>
    <x v="4"/>
    <x v="0"/>
    <n v="24"/>
    <x v="11"/>
    <x v="0"/>
  </r>
  <r>
    <n v="66592"/>
    <x v="5"/>
    <x v="8"/>
    <x v="7"/>
    <x v="7"/>
    <x v="1"/>
    <x v="4"/>
    <x v="4"/>
    <x v="0"/>
    <n v="24"/>
    <x v="12"/>
    <x v="0"/>
  </r>
  <r>
    <n v="66593"/>
    <x v="5"/>
    <x v="8"/>
    <x v="8"/>
    <x v="8"/>
    <x v="1"/>
    <x v="4"/>
    <x v="4"/>
    <x v="0"/>
    <n v="24"/>
    <x v="13"/>
    <x v="0"/>
  </r>
  <r>
    <n v="66594"/>
    <x v="5"/>
    <x v="8"/>
    <x v="9"/>
    <x v="9"/>
    <x v="2"/>
    <x v="4"/>
    <x v="4"/>
    <x v="0"/>
    <n v="24"/>
    <x v="14"/>
    <x v="0"/>
  </r>
  <r>
    <n v="66563"/>
    <x v="4"/>
    <x v="6"/>
    <x v="3"/>
    <x v="3"/>
    <x v="0"/>
    <x v="3"/>
    <x v="3"/>
    <x v="0"/>
    <n v="22"/>
    <x v="3"/>
    <x v="0"/>
  </r>
  <r>
    <n v="66547"/>
    <x v="4"/>
    <x v="9"/>
    <x v="2"/>
    <x v="2"/>
    <x v="2"/>
    <x v="3"/>
    <x v="3"/>
    <x v="0"/>
    <n v="22"/>
    <x v="2"/>
    <x v="0"/>
  </r>
  <r>
    <n v="66552"/>
    <x v="4"/>
    <x v="10"/>
    <x v="1"/>
    <x v="1"/>
    <x v="1"/>
    <x v="3"/>
    <x v="3"/>
    <x v="0"/>
    <n v="22"/>
    <x v="1"/>
    <x v="0"/>
  </r>
  <r>
    <n v="66562"/>
    <x v="4"/>
    <x v="11"/>
    <x v="0"/>
    <x v="0"/>
    <x v="0"/>
    <x v="3"/>
    <x v="3"/>
    <x v="0"/>
    <n v="22"/>
    <x v="0"/>
    <x v="0"/>
  </r>
  <r>
    <n v="66545"/>
    <x v="0"/>
    <x v="6"/>
    <x v="3"/>
    <x v="3"/>
    <x v="0"/>
    <x v="0"/>
    <x v="0"/>
    <x v="0"/>
    <n v="21"/>
    <x v="3"/>
    <x v="0"/>
  </r>
  <r>
    <n v="66595"/>
    <x v="5"/>
    <x v="8"/>
    <x v="10"/>
    <x v="10"/>
    <x v="2"/>
    <x v="4"/>
    <x v="4"/>
    <x v="0"/>
    <n v="24"/>
    <x v="15"/>
    <x v="0"/>
  </r>
  <r>
    <n v="66596"/>
    <x v="5"/>
    <x v="8"/>
    <x v="11"/>
    <x v="11"/>
    <x v="2"/>
    <x v="4"/>
    <x v="4"/>
    <x v="0"/>
    <n v="24"/>
    <x v="16"/>
    <x v="0"/>
  </r>
  <r>
    <n v="66597"/>
    <x v="5"/>
    <x v="8"/>
    <x v="12"/>
    <x v="12"/>
    <x v="2"/>
    <x v="4"/>
    <x v="4"/>
    <x v="0"/>
    <n v="24"/>
    <x v="17"/>
    <x v="0"/>
  </r>
  <r>
    <n v="66598"/>
    <x v="5"/>
    <x v="6"/>
    <x v="0"/>
    <x v="0"/>
    <x v="0"/>
    <x v="4"/>
    <x v="4"/>
    <x v="0"/>
    <n v="24"/>
    <x v="0"/>
    <x v="0"/>
  </r>
  <r>
    <n v="66599"/>
    <x v="5"/>
    <x v="6"/>
    <x v="3"/>
    <x v="3"/>
    <x v="0"/>
    <x v="4"/>
    <x v="4"/>
    <x v="0"/>
    <n v="24"/>
    <x v="3"/>
    <x v="0"/>
  </r>
  <r>
    <n v="66600"/>
    <x v="6"/>
    <x v="8"/>
    <x v="2"/>
    <x v="2"/>
    <x v="1"/>
    <x v="2"/>
    <x v="2"/>
    <x v="0"/>
    <n v="36"/>
    <x v="4"/>
    <x v="0"/>
  </r>
  <r>
    <n v="66601"/>
    <x v="6"/>
    <x v="8"/>
    <x v="2"/>
    <x v="2"/>
    <x v="2"/>
    <x v="2"/>
    <x v="2"/>
    <x v="0"/>
    <n v="36"/>
    <x v="2"/>
    <x v="0"/>
  </r>
  <r>
    <n v="66602"/>
    <x v="6"/>
    <x v="8"/>
    <x v="4"/>
    <x v="4"/>
    <x v="1"/>
    <x v="2"/>
    <x v="2"/>
    <x v="0"/>
    <n v="36"/>
    <x v="5"/>
    <x v="0"/>
  </r>
  <r>
    <n v="66603"/>
    <x v="6"/>
    <x v="8"/>
    <x v="4"/>
    <x v="4"/>
    <x v="2"/>
    <x v="2"/>
    <x v="2"/>
    <x v="0"/>
    <n v="36"/>
    <x v="6"/>
    <x v="0"/>
  </r>
  <r>
    <n v="66604"/>
    <x v="6"/>
    <x v="8"/>
    <x v="5"/>
    <x v="5"/>
    <x v="2"/>
    <x v="2"/>
    <x v="2"/>
    <x v="0"/>
    <n v="36"/>
    <x v="7"/>
    <x v="0"/>
  </r>
  <r>
    <n v="66605"/>
    <x v="6"/>
    <x v="8"/>
    <x v="6"/>
    <x v="6"/>
    <x v="2"/>
    <x v="2"/>
    <x v="2"/>
    <x v="0"/>
    <n v="36"/>
    <x v="8"/>
    <x v="0"/>
  </r>
  <r>
    <n v="66606"/>
    <x v="6"/>
    <x v="8"/>
    <x v="1"/>
    <x v="1"/>
    <x v="1"/>
    <x v="2"/>
    <x v="2"/>
    <x v="0"/>
    <n v="36"/>
    <x v="1"/>
    <x v="0"/>
  </r>
  <r>
    <n v="66607"/>
    <x v="6"/>
    <x v="8"/>
    <x v="1"/>
    <x v="1"/>
    <x v="2"/>
    <x v="2"/>
    <x v="2"/>
    <x v="0"/>
    <n v="36"/>
    <x v="9"/>
    <x v="0"/>
  </r>
  <r>
    <n v="66608"/>
    <x v="6"/>
    <x v="6"/>
    <x v="0"/>
    <x v="0"/>
    <x v="3"/>
    <x v="2"/>
    <x v="2"/>
    <x v="0"/>
    <n v="36"/>
    <x v="10"/>
    <x v="0"/>
  </r>
  <r>
    <n v="66609"/>
    <x v="6"/>
    <x v="6"/>
    <x v="3"/>
    <x v="3"/>
    <x v="3"/>
    <x v="2"/>
    <x v="2"/>
    <x v="0"/>
    <n v="36"/>
    <x v="11"/>
    <x v="0"/>
  </r>
  <r>
    <n v="66610"/>
    <x v="6"/>
    <x v="8"/>
    <x v="7"/>
    <x v="7"/>
    <x v="1"/>
    <x v="2"/>
    <x v="2"/>
    <x v="0"/>
    <n v="36"/>
    <x v="12"/>
    <x v="0"/>
  </r>
  <r>
    <n v="66611"/>
    <x v="6"/>
    <x v="8"/>
    <x v="8"/>
    <x v="8"/>
    <x v="1"/>
    <x v="2"/>
    <x v="2"/>
    <x v="0"/>
    <n v="36"/>
    <x v="13"/>
    <x v="0"/>
  </r>
  <r>
    <n v="66612"/>
    <x v="6"/>
    <x v="8"/>
    <x v="9"/>
    <x v="9"/>
    <x v="2"/>
    <x v="2"/>
    <x v="2"/>
    <x v="0"/>
    <n v="36"/>
    <x v="14"/>
    <x v="0"/>
  </r>
  <r>
    <n v="66613"/>
    <x v="6"/>
    <x v="8"/>
    <x v="10"/>
    <x v="10"/>
    <x v="2"/>
    <x v="2"/>
    <x v="2"/>
    <x v="0"/>
    <n v="36"/>
    <x v="15"/>
    <x v="0"/>
  </r>
  <r>
    <n v="66614"/>
    <x v="6"/>
    <x v="8"/>
    <x v="11"/>
    <x v="11"/>
    <x v="2"/>
    <x v="2"/>
    <x v="2"/>
    <x v="0"/>
    <n v="36"/>
    <x v="16"/>
    <x v="0"/>
  </r>
  <r>
    <n v="66615"/>
    <x v="6"/>
    <x v="8"/>
    <x v="12"/>
    <x v="12"/>
    <x v="2"/>
    <x v="2"/>
    <x v="2"/>
    <x v="0"/>
    <n v="36"/>
    <x v="17"/>
    <x v="0"/>
  </r>
  <r>
    <n v="66616"/>
    <x v="6"/>
    <x v="6"/>
    <x v="0"/>
    <x v="0"/>
    <x v="0"/>
    <x v="2"/>
    <x v="2"/>
    <x v="0"/>
    <n v="36"/>
    <x v="0"/>
    <x v="0"/>
  </r>
  <r>
    <n v="66617"/>
    <x v="6"/>
    <x v="6"/>
    <x v="3"/>
    <x v="3"/>
    <x v="0"/>
    <x v="2"/>
    <x v="2"/>
    <x v="0"/>
    <n v="36"/>
    <x v="3"/>
    <x v="0"/>
  </r>
  <r>
    <n v="66618"/>
    <x v="2"/>
    <x v="8"/>
    <x v="2"/>
    <x v="2"/>
    <x v="1"/>
    <x v="2"/>
    <x v="2"/>
    <x v="0"/>
    <n v="37"/>
    <x v="4"/>
    <x v="0"/>
  </r>
  <r>
    <n v="66620"/>
    <x v="2"/>
    <x v="8"/>
    <x v="4"/>
    <x v="4"/>
    <x v="1"/>
    <x v="2"/>
    <x v="2"/>
    <x v="0"/>
    <n v="37"/>
    <x v="5"/>
    <x v="0"/>
  </r>
  <r>
    <n v="66621"/>
    <x v="2"/>
    <x v="8"/>
    <x v="4"/>
    <x v="4"/>
    <x v="2"/>
    <x v="2"/>
    <x v="2"/>
    <x v="0"/>
    <n v="37"/>
    <x v="6"/>
    <x v="0"/>
  </r>
  <r>
    <n v="66622"/>
    <x v="2"/>
    <x v="8"/>
    <x v="5"/>
    <x v="5"/>
    <x v="2"/>
    <x v="2"/>
    <x v="2"/>
    <x v="0"/>
    <n v="37"/>
    <x v="7"/>
    <x v="0"/>
  </r>
  <r>
    <n v="66623"/>
    <x v="2"/>
    <x v="8"/>
    <x v="6"/>
    <x v="6"/>
    <x v="2"/>
    <x v="2"/>
    <x v="2"/>
    <x v="0"/>
    <n v="37"/>
    <x v="8"/>
    <x v="0"/>
  </r>
  <r>
    <n v="66624"/>
    <x v="2"/>
    <x v="8"/>
    <x v="1"/>
    <x v="1"/>
    <x v="1"/>
    <x v="2"/>
    <x v="2"/>
    <x v="0"/>
    <n v="37"/>
    <x v="1"/>
    <x v="0"/>
  </r>
  <r>
    <n v="66625"/>
    <x v="2"/>
    <x v="8"/>
    <x v="1"/>
    <x v="1"/>
    <x v="2"/>
    <x v="2"/>
    <x v="2"/>
    <x v="0"/>
    <n v="37"/>
    <x v="9"/>
    <x v="0"/>
  </r>
  <r>
    <n v="66626"/>
    <x v="2"/>
    <x v="6"/>
    <x v="0"/>
    <x v="0"/>
    <x v="3"/>
    <x v="2"/>
    <x v="2"/>
    <x v="0"/>
    <n v="37"/>
    <x v="10"/>
    <x v="0"/>
  </r>
  <r>
    <n v="66627"/>
    <x v="2"/>
    <x v="6"/>
    <x v="3"/>
    <x v="3"/>
    <x v="3"/>
    <x v="2"/>
    <x v="2"/>
    <x v="0"/>
    <n v="37"/>
    <x v="11"/>
    <x v="0"/>
  </r>
  <r>
    <n v="66628"/>
    <x v="2"/>
    <x v="8"/>
    <x v="7"/>
    <x v="7"/>
    <x v="1"/>
    <x v="2"/>
    <x v="2"/>
    <x v="0"/>
    <n v="37"/>
    <x v="12"/>
    <x v="0"/>
  </r>
  <r>
    <n v="66629"/>
    <x v="2"/>
    <x v="8"/>
    <x v="8"/>
    <x v="8"/>
    <x v="1"/>
    <x v="2"/>
    <x v="2"/>
    <x v="0"/>
    <n v="37"/>
    <x v="13"/>
    <x v="0"/>
  </r>
  <r>
    <n v="66630"/>
    <x v="2"/>
    <x v="8"/>
    <x v="9"/>
    <x v="9"/>
    <x v="2"/>
    <x v="2"/>
    <x v="2"/>
    <x v="0"/>
    <n v="37"/>
    <x v="14"/>
    <x v="0"/>
  </r>
  <r>
    <n v="66631"/>
    <x v="2"/>
    <x v="8"/>
    <x v="10"/>
    <x v="10"/>
    <x v="2"/>
    <x v="2"/>
    <x v="2"/>
    <x v="0"/>
    <n v="37"/>
    <x v="15"/>
    <x v="0"/>
  </r>
  <r>
    <n v="66632"/>
    <x v="2"/>
    <x v="8"/>
    <x v="11"/>
    <x v="11"/>
    <x v="2"/>
    <x v="2"/>
    <x v="2"/>
    <x v="0"/>
    <n v="37"/>
    <x v="16"/>
    <x v="0"/>
  </r>
  <r>
    <n v="66633"/>
    <x v="2"/>
    <x v="8"/>
    <x v="12"/>
    <x v="12"/>
    <x v="2"/>
    <x v="2"/>
    <x v="2"/>
    <x v="0"/>
    <n v="37"/>
    <x v="17"/>
    <x v="0"/>
  </r>
  <r>
    <n v="66636"/>
    <x v="5"/>
    <x v="8"/>
    <x v="2"/>
    <x v="2"/>
    <x v="1"/>
    <x v="2"/>
    <x v="2"/>
    <x v="0"/>
    <n v="38"/>
    <x v="4"/>
    <x v="0"/>
  </r>
  <r>
    <n v="66638"/>
    <x v="5"/>
    <x v="8"/>
    <x v="4"/>
    <x v="4"/>
    <x v="1"/>
    <x v="2"/>
    <x v="2"/>
    <x v="0"/>
    <n v="38"/>
    <x v="5"/>
    <x v="0"/>
  </r>
  <r>
    <n v="66639"/>
    <x v="5"/>
    <x v="8"/>
    <x v="4"/>
    <x v="4"/>
    <x v="2"/>
    <x v="2"/>
    <x v="2"/>
    <x v="0"/>
    <n v="38"/>
    <x v="6"/>
    <x v="0"/>
  </r>
  <r>
    <n v="66640"/>
    <x v="5"/>
    <x v="8"/>
    <x v="5"/>
    <x v="5"/>
    <x v="2"/>
    <x v="2"/>
    <x v="2"/>
    <x v="0"/>
    <n v="38"/>
    <x v="7"/>
    <x v="0"/>
  </r>
  <r>
    <n v="66641"/>
    <x v="5"/>
    <x v="8"/>
    <x v="6"/>
    <x v="6"/>
    <x v="2"/>
    <x v="2"/>
    <x v="2"/>
    <x v="0"/>
    <n v="38"/>
    <x v="8"/>
    <x v="0"/>
  </r>
  <r>
    <n v="66642"/>
    <x v="5"/>
    <x v="8"/>
    <x v="1"/>
    <x v="1"/>
    <x v="1"/>
    <x v="2"/>
    <x v="2"/>
    <x v="0"/>
    <n v="38"/>
    <x v="1"/>
    <x v="0"/>
  </r>
  <r>
    <n v="66643"/>
    <x v="5"/>
    <x v="8"/>
    <x v="1"/>
    <x v="1"/>
    <x v="2"/>
    <x v="2"/>
    <x v="2"/>
    <x v="0"/>
    <n v="38"/>
    <x v="9"/>
    <x v="0"/>
  </r>
  <r>
    <n v="66644"/>
    <x v="5"/>
    <x v="6"/>
    <x v="0"/>
    <x v="0"/>
    <x v="3"/>
    <x v="2"/>
    <x v="2"/>
    <x v="0"/>
    <n v="38"/>
    <x v="10"/>
    <x v="0"/>
  </r>
  <r>
    <n v="66645"/>
    <x v="5"/>
    <x v="6"/>
    <x v="3"/>
    <x v="3"/>
    <x v="3"/>
    <x v="2"/>
    <x v="2"/>
    <x v="0"/>
    <n v="38"/>
    <x v="11"/>
    <x v="0"/>
  </r>
  <r>
    <n v="66646"/>
    <x v="5"/>
    <x v="8"/>
    <x v="7"/>
    <x v="7"/>
    <x v="1"/>
    <x v="2"/>
    <x v="2"/>
    <x v="0"/>
    <n v="38"/>
    <x v="12"/>
    <x v="0"/>
  </r>
  <r>
    <n v="66647"/>
    <x v="5"/>
    <x v="8"/>
    <x v="8"/>
    <x v="8"/>
    <x v="1"/>
    <x v="2"/>
    <x v="2"/>
    <x v="0"/>
    <n v="38"/>
    <x v="13"/>
    <x v="0"/>
  </r>
  <r>
    <n v="66648"/>
    <x v="5"/>
    <x v="8"/>
    <x v="9"/>
    <x v="9"/>
    <x v="2"/>
    <x v="2"/>
    <x v="2"/>
    <x v="0"/>
    <n v="38"/>
    <x v="14"/>
    <x v="0"/>
  </r>
  <r>
    <n v="66649"/>
    <x v="5"/>
    <x v="8"/>
    <x v="10"/>
    <x v="10"/>
    <x v="2"/>
    <x v="2"/>
    <x v="2"/>
    <x v="0"/>
    <n v="38"/>
    <x v="15"/>
    <x v="0"/>
  </r>
  <r>
    <n v="66650"/>
    <x v="5"/>
    <x v="8"/>
    <x v="11"/>
    <x v="11"/>
    <x v="2"/>
    <x v="2"/>
    <x v="2"/>
    <x v="0"/>
    <n v="38"/>
    <x v="16"/>
    <x v="0"/>
  </r>
  <r>
    <n v="66619"/>
    <x v="2"/>
    <x v="8"/>
    <x v="2"/>
    <x v="2"/>
    <x v="2"/>
    <x v="2"/>
    <x v="2"/>
    <x v="0"/>
    <n v="37"/>
    <x v="2"/>
    <x v="0"/>
  </r>
  <r>
    <n v="66637"/>
    <x v="5"/>
    <x v="12"/>
    <x v="2"/>
    <x v="2"/>
    <x v="2"/>
    <x v="2"/>
    <x v="2"/>
    <x v="0"/>
    <n v="38"/>
    <x v="2"/>
    <x v="0"/>
  </r>
  <r>
    <n v="66635"/>
    <x v="2"/>
    <x v="6"/>
    <x v="3"/>
    <x v="3"/>
    <x v="0"/>
    <x v="2"/>
    <x v="2"/>
    <x v="0"/>
    <n v="37"/>
    <x v="3"/>
    <x v="0"/>
  </r>
  <r>
    <n v="66651"/>
    <x v="5"/>
    <x v="8"/>
    <x v="12"/>
    <x v="12"/>
    <x v="2"/>
    <x v="2"/>
    <x v="2"/>
    <x v="0"/>
    <n v="38"/>
    <x v="17"/>
    <x v="0"/>
  </r>
  <r>
    <n v="66654"/>
    <x v="1"/>
    <x v="8"/>
    <x v="2"/>
    <x v="2"/>
    <x v="1"/>
    <x v="1"/>
    <x v="1"/>
    <x v="1"/>
    <n v="25"/>
    <x v="4"/>
    <x v="0"/>
  </r>
  <r>
    <n v="66656"/>
    <x v="1"/>
    <x v="8"/>
    <x v="4"/>
    <x v="4"/>
    <x v="1"/>
    <x v="1"/>
    <x v="1"/>
    <x v="1"/>
    <n v="25"/>
    <x v="5"/>
    <x v="0"/>
  </r>
  <r>
    <n v="66657"/>
    <x v="1"/>
    <x v="8"/>
    <x v="4"/>
    <x v="4"/>
    <x v="2"/>
    <x v="1"/>
    <x v="1"/>
    <x v="1"/>
    <n v="25"/>
    <x v="6"/>
    <x v="0"/>
  </r>
  <r>
    <n v="66658"/>
    <x v="1"/>
    <x v="8"/>
    <x v="5"/>
    <x v="5"/>
    <x v="2"/>
    <x v="1"/>
    <x v="1"/>
    <x v="1"/>
    <n v="25"/>
    <x v="7"/>
    <x v="0"/>
  </r>
  <r>
    <n v="66659"/>
    <x v="1"/>
    <x v="8"/>
    <x v="6"/>
    <x v="6"/>
    <x v="2"/>
    <x v="1"/>
    <x v="1"/>
    <x v="1"/>
    <n v="25"/>
    <x v="8"/>
    <x v="0"/>
  </r>
  <r>
    <n v="66660"/>
    <x v="1"/>
    <x v="8"/>
    <x v="1"/>
    <x v="1"/>
    <x v="1"/>
    <x v="1"/>
    <x v="1"/>
    <x v="1"/>
    <n v="25"/>
    <x v="1"/>
    <x v="0"/>
  </r>
  <r>
    <n v="66661"/>
    <x v="1"/>
    <x v="8"/>
    <x v="1"/>
    <x v="1"/>
    <x v="2"/>
    <x v="1"/>
    <x v="1"/>
    <x v="1"/>
    <n v="25"/>
    <x v="9"/>
    <x v="0"/>
  </r>
  <r>
    <n v="66662"/>
    <x v="1"/>
    <x v="6"/>
    <x v="0"/>
    <x v="0"/>
    <x v="3"/>
    <x v="1"/>
    <x v="1"/>
    <x v="1"/>
    <n v="25"/>
    <x v="10"/>
    <x v="0"/>
  </r>
  <r>
    <n v="66663"/>
    <x v="1"/>
    <x v="6"/>
    <x v="3"/>
    <x v="3"/>
    <x v="3"/>
    <x v="1"/>
    <x v="1"/>
    <x v="1"/>
    <n v="25"/>
    <x v="11"/>
    <x v="0"/>
  </r>
  <r>
    <n v="66664"/>
    <x v="1"/>
    <x v="8"/>
    <x v="7"/>
    <x v="7"/>
    <x v="1"/>
    <x v="1"/>
    <x v="1"/>
    <x v="1"/>
    <n v="25"/>
    <x v="12"/>
    <x v="0"/>
  </r>
  <r>
    <n v="66665"/>
    <x v="1"/>
    <x v="8"/>
    <x v="8"/>
    <x v="8"/>
    <x v="1"/>
    <x v="1"/>
    <x v="1"/>
    <x v="1"/>
    <n v="25"/>
    <x v="13"/>
    <x v="0"/>
  </r>
  <r>
    <n v="66666"/>
    <x v="1"/>
    <x v="8"/>
    <x v="9"/>
    <x v="9"/>
    <x v="2"/>
    <x v="1"/>
    <x v="1"/>
    <x v="1"/>
    <n v="25"/>
    <x v="14"/>
    <x v="0"/>
  </r>
  <r>
    <n v="66667"/>
    <x v="1"/>
    <x v="8"/>
    <x v="10"/>
    <x v="10"/>
    <x v="2"/>
    <x v="1"/>
    <x v="1"/>
    <x v="1"/>
    <n v="25"/>
    <x v="15"/>
    <x v="0"/>
  </r>
  <r>
    <n v="66668"/>
    <x v="1"/>
    <x v="8"/>
    <x v="11"/>
    <x v="11"/>
    <x v="2"/>
    <x v="1"/>
    <x v="1"/>
    <x v="1"/>
    <n v="25"/>
    <x v="16"/>
    <x v="0"/>
  </r>
  <r>
    <n v="66669"/>
    <x v="1"/>
    <x v="8"/>
    <x v="12"/>
    <x v="12"/>
    <x v="2"/>
    <x v="1"/>
    <x v="1"/>
    <x v="1"/>
    <n v="25"/>
    <x v="17"/>
    <x v="0"/>
  </r>
  <r>
    <n v="66672"/>
    <x v="7"/>
    <x v="8"/>
    <x v="2"/>
    <x v="2"/>
    <x v="1"/>
    <x v="1"/>
    <x v="1"/>
    <x v="1"/>
    <n v="26"/>
    <x v="4"/>
    <x v="0"/>
  </r>
  <r>
    <n v="66673"/>
    <x v="7"/>
    <x v="8"/>
    <x v="2"/>
    <x v="2"/>
    <x v="2"/>
    <x v="1"/>
    <x v="1"/>
    <x v="1"/>
    <n v="26"/>
    <x v="2"/>
    <x v="0"/>
  </r>
  <r>
    <n v="66674"/>
    <x v="7"/>
    <x v="8"/>
    <x v="4"/>
    <x v="4"/>
    <x v="1"/>
    <x v="1"/>
    <x v="1"/>
    <x v="1"/>
    <n v="26"/>
    <x v="5"/>
    <x v="0"/>
  </r>
  <r>
    <n v="66675"/>
    <x v="7"/>
    <x v="8"/>
    <x v="4"/>
    <x v="4"/>
    <x v="2"/>
    <x v="1"/>
    <x v="1"/>
    <x v="1"/>
    <n v="26"/>
    <x v="6"/>
    <x v="0"/>
  </r>
  <r>
    <n v="66676"/>
    <x v="7"/>
    <x v="8"/>
    <x v="5"/>
    <x v="5"/>
    <x v="2"/>
    <x v="1"/>
    <x v="1"/>
    <x v="1"/>
    <n v="26"/>
    <x v="7"/>
    <x v="0"/>
  </r>
  <r>
    <n v="66677"/>
    <x v="7"/>
    <x v="8"/>
    <x v="6"/>
    <x v="6"/>
    <x v="2"/>
    <x v="1"/>
    <x v="1"/>
    <x v="1"/>
    <n v="26"/>
    <x v="8"/>
    <x v="0"/>
  </r>
  <r>
    <n v="66678"/>
    <x v="7"/>
    <x v="8"/>
    <x v="1"/>
    <x v="1"/>
    <x v="1"/>
    <x v="1"/>
    <x v="1"/>
    <x v="1"/>
    <n v="26"/>
    <x v="1"/>
    <x v="0"/>
  </r>
  <r>
    <n v="66679"/>
    <x v="7"/>
    <x v="8"/>
    <x v="1"/>
    <x v="1"/>
    <x v="2"/>
    <x v="1"/>
    <x v="1"/>
    <x v="1"/>
    <n v="26"/>
    <x v="9"/>
    <x v="0"/>
  </r>
  <r>
    <n v="66680"/>
    <x v="7"/>
    <x v="6"/>
    <x v="0"/>
    <x v="0"/>
    <x v="3"/>
    <x v="1"/>
    <x v="1"/>
    <x v="1"/>
    <n v="26"/>
    <x v="10"/>
    <x v="0"/>
  </r>
  <r>
    <n v="66681"/>
    <x v="7"/>
    <x v="6"/>
    <x v="3"/>
    <x v="3"/>
    <x v="3"/>
    <x v="1"/>
    <x v="1"/>
    <x v="1"/>
    <n v="26"/>
    <x v="11"/>
    <x v="0"/>
  </r>
  <r>
    <n v="66682"/>
    <x v="7"/>
    <x v="8"/>
    <x v="7"/>
    <x v="7"/>
    <x v="1"/>
    <x v="1"/>
    <x v="1"/>
    <x v="1"/>
    <n v="26"/>
    <x v="12"/>
    <x v="0"/>
  </r>
  <r>
    <n v="66683"/>
    <x v="7"/>
    <x v="8"/>
    <x v="8"/>
    <x v="8"/>
    <x v="1"/>
    <x v="1"/>
    <x v="1"/>
    <x v="1"/>
    <n v="26"/>
    <x v="13"/>
    <x v="0"/>
  </r>
  <r>
    <n v="66684"/>
    <x v="7"/>
    <x v="8"/>
    <x v="9"/>
    <x v="9"/>
    <x v="2"/>
    <x v="1"/>
    <x v="1"/>
    <x v="1"/>
    <n v="26"/>
    <x v="14"/>
    <x v="0"/>
  </r>
  <r>
    <n v="66685"/>
    <x v="7"/>
    <x v="8"/>
    <x v="10"/>
    <x v="10"/>
    <x v="2"/>
    <x v="1"/>
    <x v="1"/>
    <x v="1"/>
    <n v="26"/>
    <x v="15"/>
    <x v="0"/>
  </r>
  <r>
    <n v="66686"/>
    <x v="7"/>
    <x v="8"/>
    <x v="11"/>
    <x v="11"/>
    <x v="2"/>
    <x v="1"/>
    <x v="1"/>
    <x v="1"/>
    <n v="26"/>
    <x v="16"/>
    <x v="0"/>
  </r>
  <r>
    <n v="66687"/>
    <x v="7"/>
    <x v="8"/>
    <x v="12"/>
    <x v="12"/>
    <x v="2"/>
    <x v="1"/>
    <x v="1"/>
    <x v="1"/>
    <n v="26"/>
    <x v="17"/>
    <x v="0"/>
  </r>
  <r>
    <n v="66688"/>
    <x v="7"/>
    <x v="6"/>
    <x v="0"/>
    <x v="0"/>
    <x v="0"/>
    <x v="1"/>
    <x v="1"/>
    <x v="1"/>
    <n v="26"/>
    <x v="0"/>
    <x v="0"/>
  </r>
  <r>
    <n v="66689"/>
    <x v="7"/>
    <x v="6"/>
    <x v="3"/>
    <x v="3"/>
    <x v="0"/>
    <x v="1"/>
    <x v="1"/>
    <x v="1"/>
    <n v="26"/>
    <x v="3"/>
    <x v="0"/>
  </r>
  <r>
    <n v="66690"/>
    <x v="8"/>
    <x v="8"/>
    <x v="2"/>
    <x v="2"/>
    <x v="1"/>
    <x v="1"/>
    <x v="1"/>
    <x v="1"/>
    <n v="27"/>
    <x v="4"/>
    <x v="0"/>
  </r>
  <r>
    <n v="66691"/>
    <x v="8"/>
    <x v="8"/>
    <x v="2"/>
    <x v="2"/>
    <x v="2"/>
    <x v="1"/>
    <x v="1"/>
    <x v="1"/>
    <n v="27"/>
    <x v="2"/>
    <x v="0"/>
  </r>
  <r>
    <n v="66692"/>
    <x v="8"/>
    <x v="8"/>
    <x v="4"/>
    <x v="4"/>
    <x v="1"/>
    <x v="1"/>
    <x v="1"/>
    <x v="1"/>
    <n v="27"/>
    <x v="5"/>
    <x v="0"/>
  </r>
  <r>
    <n v="66693"/>
    <x v="8"/>
    <x v="8"/>
    <x v="4"/>
    <x v="4"/>
    <x v="2"/>
    <x v="1"/>
    <x v="1"/>
    <x v="1"/>
    <n v="27"/>
    <x v="6"/>
    <x v="0"/>
  </r>
  <r>
    <n v="66694"/>
    <x v="8"/>
    <x v="8"/>
    <x v="5"/>
    <x v="5"/>
    <x v="2"/>
    <x v="1"/>
    <x v="1"/>
    <x v="1"/>
    <n v="27"/>
    <x v="7"/>
    <x v="0"/>
  </r>
  <r>
    <n v="66695"/>
    <x v="8"/>
    <x v="8"/>
    <x v="6"/>
    <x v="6"/>
    <x v="2"/>
    <x v="1"/>
    <x v="1"/>
    <x v="1"/>
    <n v="27"/>
    <x v="8"/>
    <x v="0"/>
  </r>
  <r>
    <n v="66696"/>
    <x v="8"/>
    <x v="8"/>
    <x v="1"/>
    <x v="1"/>
    <x v="1"/>
    <x v="1"/>
    <x v="1"/>
    <x v="1"/>
    <n v="27"/>
    <x v="1"/>
    <x v="0"/>
  </r>
  <r>
    <n v="66697"/>
    <x v="8"/>
    <x v="8"/>
    <x v="1"/>
    <x v="1"/>
    <x v="2"/>
    <x v="1"/>
    <x v="1"/>
    <x v="1"/>
    <n v="27"/>
    <x v="9"/>
    <x v="0"/>
  </r>
  <r>
    <n v="66698"/>
    <x v="8"/>
    <x v="6"/>
    <x v="0"/>
    <x v="0"/>
    <x v="3"/>
    <x v="1"/>
    <x v="1"/>
    <x v="1"/>
    <n v="27"/>
    <x v="10"/>
    <x v="0"/>
  </r>
  <r>
    <n v="66699"/>
    <x v="8"/>
    <x v="6"/>
    <x v="3"/>
    <x v="3"/>
    <x v="3"/>
    <x v="1"/>
    <x v="1"/>
    <x v="1"/>
    <n v="27"/>
    <x v="11"/>
    <x v="0"/>
  </r>
  <r>
    <n v="66700"/>
    <x v="8"/>
    <x v="8"/>
    <x v="7"/>
    <x v="7"/>
    <x v="1"/>
    <x v="1"/>
    <x v="1"/>
    <x v="1"/>
    <n v="27"/>
    <x v="12"/>
    <x v="0"/>
  </r>
  <r>
    <n v="66701"/>
    <x v="8"/>
    <x v="8"/>
    <x v="8"/>
    <x v="8"/>
    <x v="1"/>
    <x v="1"/>
    <x v="1"/>
    <x v="1"/>
    <n v="27"/>
    <x v="13"/>
    <x v="0"/>
  </r>
  <r>
    <n v="66702"/>
    <x v="8"/>
    <x v="8"/>
    <x v="9"/>
    <x v="9"/>
    <x v="2"/>
    <x v="1"/>
    <x v="1"/>
    <x v="1"/>
    <n v="27"/>
    <x v="14"/>
    <x v="0"/>
  </r>
  <r>
    <n v="66652"/>
    <x v="5"/>
    <x v="13"/>
    <x v="0"/>
    <x v="0"/>
    <x v="0"/>
    <x v="2"/>
    <x v="2"/>
    <x v="0"/>
    <n v="38"/>
    <x v="0"/>
    <x v="0"/>
  </r>
  <r>
    <n v="66671"/>
    <x v="1"/>
    <x v="6"/>
    <x v="3"/>
    <x v="3"/>
    <x v="0"/>
    <x v="1"/>
    <x v="1"/>
    <x v="1"/>
    <n v="25"/>
    <x v="3"/>
    <x v="0"/>
  </r>
  <r>
    <n v="66655"/>
    <x v="1"/>
    <x v="14"/>
    <x v="2"/>
    <x v="2"/>
    <x v="2"/>
    <x v="1"/>
    <x v="1"/>
    <x v="1"/>
    <n v="25"/>
    <x v="2"/>
    <x v="0"/>
  </r>
  <r>
    <n v="66653"/>
    <x v="5"/>
    <x v="6"/>
    <x v="3"/>
    <x v="3"/>
    <x v="0"/>
    <x v="2"/>
    <x v="2"/>
    <x v="0"/>
    <n v="38"/>
    <x v="3"/>
    <x v="0"/>
  </r>
  <r>
    <n v="66703"/>
    <x v="8"/>
    <x v="8"/>
    <x v="10"/>
    <x v="10"/>
    <x v="2"/>
    <x v="1"/>
    <x v="1"/>
    <x v="1"/>
    <n v="27"/>
    <x v="15"/>
    <x v="0"/>
  </r>
  <r>
    <n v="66704"/>
    <x v="8"/>
    <x v="8"/>
    <x v="11"/>
    <x v="11"/>
    <x v="2"/>
    <x v="1"/>
    <x v="1"/>
    <x v="1"/>
    <n v="27"/>
    <x v="16"/>
    <x v="0"/>
  </r>
  <r>
    <n v="66705"/>
    <x v="8"/>
    <x v="8"/>
    <x v="12"/>
    <x v="12"/>
    <x v="2"/>
    <x v="1"/>
    <x v="1"/>
    <x v="1"/>
    <n v="27"/>
    <x v="17"/>
    <x v="0"/>
  </r>
  <r>
    <n v="66706"/>
    <x v="8"/>
    <x v="6"/>
    <x v="0"/>
    <x v="0"/>
    <x v="0"/>
    <x v="1"/>
    <x v="1"/>
    <x v="1"/>
    <n v="27"/>
    <x v="0"/>
    <x v="0"/>
  </r>
  <r>
    <n v="66707"/>
    <x v="8"/>
    <x v="6"/>
    <x v="3"/>
    <x v="3"/>
    <x v="0"/>
    <x v="1"/>
    <x v="1"/>
    <x v="1"/>
    <n v="27"/>
    <x v="3"/>
    <x v="0"/>
  </r>
  <r>
    <n v="66708"/>
    <x v="9"/>
    <x v="8"/>
    <x v="2"/>
    <x v="2"/>
    <x v="1"/>
    <x v="1"/>
    <x v="1"/>
    <x v="1"/>
    <n v="28"/>
    <x v="4"/>
    <x v="0"/>
  </r>
  <r>
    <n v="66709"/>
    <x v="9"/>
    <x v="8"/>
    <x v="2"/>
    <x v="2"/>
    <x v="2"/>
    <x v="1"/>
    <x v="1"/>
    <x v="1"/>
    <n v="28"/>
    <x v="2"/>
    <x v="0"/>
  </r>
  <r>
    <n v="66710"/>
    <x v="9"/>
    <x v="8"/>
    <x v="4"/>
    <x v="4"/>
    <x v="1"/>
    <x v="1"/>
    <x v="1"/>
    <x v="1"/>
    <n v="28"/>
    <x v="5"/>
    <x v="0"/>
  </r>
  <r>
    <n v="66711"/>
    <x v="9"/>
    <x v="8"/>
    <x v="4"/>
    <x v="4"/>
    <x v="2"/>
    <x v="1"/>
    <x v="1"/>
    <x v="1"/>
    <n v="28"/>
    <x v="6"/>
    <x v="0"/>
  </r>
  <r>
    <n v="66712"/>
    <x v="9"/>
    <x v="8"/>
    <x v="5"/>
    <x v="5"/>
    <x v="2"/>
    <x v="1"/>
    <x v="1"/>
    <x v="1"/>
    <n v="28"/>
    <x v="7"/>
    <x v="0"/>
  </r>
  <r>
    <n v="66713"/>
    <x v="9"/>
    <x v="8"/>
    <x v="6"/>
    <x v="6"/>
    <x v="2"/>
    <x v="1"/>
    <x v="1"/>
    <x v="1"/>
    <n v="28"/>
    <x v="8"/>
    <x v="0"/>
  </r>
  <r>
    <n v="66714"/>
    <x v="9"/>
    <x v="8"/>
    <x v="1"/>
    <x v="1"/>
    <x v="1"/>
    <x v="1"/>
    <x v="1"/>
    <x v="1"/>
    <n v="28"/>
    <x v="1"/>
    <x v="0"/>
  </r>
  <r>
    <n v="66715"/>
    <x v="9"/>
    <x v="8"/>
    <x v="1"/>
    <x v="1"/>
    <x v="2"/>
    <x v="1"/>
    <x v="1"/>
    <x v="1"/>
    <n v="28"/>
    <x v="9"/>
    <x v="0"/>
  </r>
  <r>
    <n v="66716"/>
    <x v="9"/>
    <x v="6"/>
    <x v="0"/>
    <x v="0"/>
    <x v="3"/>
    <x v="1"/>
    <x v="1"/>
    <x v="1"/>
    <n v="28"/>
    <x v="10"/>
    <x v="0"/>
  </r>
  <r>
    <n v="66717"/>
    <x v="9"/>
    <x v="6"/>
    <x v="3"/>
    <x v="3"/>
    <x v="3"/>
    <x v="1"/>
    <x v="1"/>
    <x v="1"/>
    <n v="28"/>
    <x v="11"/>
    <x v="0"/>
  </r>
  <r>
    <n v="66718"/>
    <x v="9"/>
    <x v="8"/>
    <x v="7"/>
    <x v="7"/>
    <x v="1"/>
    <x v="1"/>
    <x v="1"/>
    <x v="1"/>
    <n v="28"/>
    <x v="12"/>
    <x v="0"/>
  </r>
  <r>
    <n v="66719"/>
    <x v="9"/>
    <x v="8"/>
    <x v="8"/>
    <x v="8"/>
    <x v="1"/>
    <x v="1"/>
    <x v="1"/>
    <x v="1"/>
    <n v="28"/>
    <x v="13"/>
    <x v="0"/>
  </r>
  <r>
    <n v="66720"/>
    <x v="9"/>
    <x v="8"/>
    <x v="9"/>
    <x v="9"/>
    <x v="2"/>
    <x v="1"/>
    <x v="1"/>
    <x v="1"/>
    <n v="28"/>
    <x v="14"/>
    <x v="0"/>
  </r>
  <r>
    <n v="66721"/>
    <x v="9"/>
    <x v="8"/>
    <x v="10"/>
    <x v="10"/>
    <x v="2"/>
    <x v="1"/>
    <x v="1"/>
    <x v="1"/>
    <n v="28"/>
    <x v="15"/>
    <x v="0"/>
  </r>
  <r>
    <n v="66722"/>
    <x v="9"/>
    <x v="8"/>
    <x v="11"/>
    <x v="11"/>
    <x v="2"/>
    <x v="1"/>
    <x v="1"/>
    <x v="1"/>
    <n v="28"/>
    <x v="16"/>
    <x v="0"/>
  </r>
  <r>
    <n v="66723"/>
    <x v="9"/>
    <x v="8"/>
    <x v="12"/>
    <x v="12"/>
    <x v="2"/>
    <x v="1"/>
    <x v="1"/>
    <x v="1"/>
    <n v="28"/>
    <x v="17"/>
    <x v="0"/>
  </r>
  <r>
    <n v="66724"/>
    <x v="9"/>
    <x v="6"/>
    <x v="0"/>
    <x v="0"/>
    <x v="0"/>
    <x v="1"/>
    <x v="1"/>
    <x v="1"/>
    <n v="28"/>
    <x v="0"/>
    <x v="0"/>
  </r>
  <r>
    <n v="66725"/>
    <x v="9"/>
    <x v="6"/>
    <x v="3"/>
    <x v="3"/>
    <x v="0"/>
    <x v="1"/>
    <x v="1"/>
    <x v="1"/>
    <n v="28"/>
    <x v="3"/>
    <x v="0"/>
  </r>
  <r>
    <n v="66726"/>
    <x v="10"/>
    <x v="8"/>
    <x v="2"/>
    <x v="2"/>
    <x v="1"/>
    <x v="1"/>
    <x v="1"/>
    <x v="1"/>
    <n v="29"/>
    <x v="4"/>
    <x v="0"/>
  </r>
  <r>
    <n v="66727"/>
    <x v="10"/>
    <x v="8"/>
    <x v="2"/>
    <x v="2"/>
    <x v="2"/>
    <x v="1"/>
    <x v="1"/>
    <x v="1"/>
    <n v="29"/>
    <x v="2"/>
    <x v="0"/>
  </r>
  <r>
    <n v="66728"/>
    <x v="10"/>
    <x v="8"/>
    <x v="4"/>
    <x v="4"/>
    <x v="1"/>
    <x v="1"/>
    <x v="1"/>
    <x v="1"/>
    <n v="29"/>
    <x v="5"/>
    <x v="0"/>
  </r>
  <r>
    <n v="66729"/>
    <x v="10"/>
    <x v="8"/>
    <x v="4"/>
    <x v="4"/>
    <x v="2"/>
    <x v="1"/>
    <x v="1"/>
    <x v="1"/>
    <n v="29"/>
    <x v="6"/>
    <x v="0"/>
  </r>
  <r>
    <n v="66730"/>
    <x v="10"/>
    <x v="8"/>
    <x v="5"/>
    <x v="5"/>
    <x v="2"/>
    <x v="1"/>
    <x v="1"/>
    <x v="1"/>
    <n v="29"/>
    <x v="7"/>
    <x v="0"/>
  </r>
  <r>
    <n v="66731"/>
    <x v="10"/>
    <x v="8"/>
    <x v="6"/>
    <x v="6"/>
    <x v="2"/>
    <x v="1"/>
    <x v="1"/>
    <x v="1"/>
    <n v="29"/>
    <x v="8"/>
    <x v="0"/>
  </r>
  <r>
    <n v="66732"/>
    <x v="10"/>
    <x v="8"/>
    <x v="1"/>
    <x v="1"/>
    <x v="1"/>
    <x v="1"/>
    <x v="1"/>
    <x v="1"/>
    <n v="29"/>
    <x v="1"/>
    <x v="0"/>
  </r>
  <r>
    <n v="66733"/>
    <x v="10"/>
    <x v="8"/>
    <x v="1"/>
    <x v="1"/>
    <x v="2"/>
    <x v="1"/>
    <x v="1"/>
    <x v="1"/>
    <n v="29"/>
    <x v="9"/>
    <x v="0"/>
  </r>
  <r>
    <n v="66734"/>
    <x v="10"/>
    <x v="6"/>
    <x v="0"/>
    <x v="0"/>
    <x v="3"/>
    <x v="1"/>
    <x v="1"/>
    <x v="1"/>
    <n v="29"/>
    <x v="10"/>
    <x v="0"/>
  </r>
  <r>
    <n v="66735"/>
    <x v="10"/>
    <x v="6"/>
    <x v="3"/>
    <x v="3"/>
    <x v="3"/>
    <x v="1"/>
    <x v="1"/>
    <x v="1"/>
    <n v="29"/>
    <x v="11"/>
    <x v="0"/>
  </r>
  <r>
    <n v="66736"/>
    <x v="10"/>
    <x v="8"/>
    <x v="7"/>
    <x v="7"/>
    <x v="1"/>
    <x v="1"/>
    <x v="1"/>
    <x v="1"/>
    <n v="29"/>
    <x v="12"/>
    <x v="0"/>
  </r>
  <r>
    <n v="66737"/>
    <x v="10"/>
    <x v="8"/>
    <x v="8"/>
    <x v="8"/>
    <x v="1"/>
    <x v="1"/>
    <x v="1"/>
    <x v="1"/>
    <n v="29"/>
    <x v="13"/>
    <x v="0"/>
  </r>
  <r>
    <n v="66738"/>
    <x v="10"/>
    <x v="8"/>
    <x v="9"/>
    <x v="9"/>
    <x v="2"/>
    <x v="1"/>
    <x v="1"/>
    <x v="1"/>
    <n v="29"/>
    <x v="14"/>
    <x v="0"/>
  </r>
  <r>
    <n v="66739"/>
    <x v="10"/>
    <x v="8"/>
    <x v="10"/>
    <x v="10"/>
    <x v="2"/>
    <x v="1"/>
    <x v="1"/>
    <x v="1"/>
    <n v="29"/>
    <x v="15"/>
    <x v="0"/>
  </r>
  <r>
    <n v="66740"/>
    <x v="10"/>
    <x v="8"/>
    <x v="11"/>
    <x v="11"/>
    <x v="2"/>
    <x v="1"/>
    <x v="1"/>
    <x v="1"/>
    <n v="29"/>
    <x v="16"/>
    <x v="0"/>
  </r>
  <r>
    <n v="66741"/>
    <x v="10"/>
    <x v="8"/>
    <x v="12"/>
    <x v="12"/>
    <x v="2"/>
    <x v="1"/>
    <x v="1"/>
    <x v="1"/>
    <n v="29"/>
    <x v="17"/>
    <x v="0"/>
  </r>
  <r>
    <n v="66742"/>
    <x v="10"/>
    <x v="6"/>
    <x v="0"/>
    <x v="0"/>
    <x v="0"/>
    <x v="1"/>
    <x v="1"/>
    <x v="1"/>
    <n v="29"/>
    <x v="0"/>
    <x v="0"/>
  </r>
  <r>
    <n v="66743"/>
    <x v="10"/>
    <x v="6"/>
    <x v="3"/>
    <x v="3"/>
    <x v="0"/>
    <x v="1"/>
    <x v="1"/>
    <x v="1"/>
    <n v="29"/>
    <x v="3"/>
    <x v="0"/>
  </r>
  <r>
    <n v="66744"/>
    <x v="11"/>
    <x v="8"/>
    <x v="2"/>
    <x v="2"/>
    <x v="1"/>
    <x v="1"/>
    <x v="1"/>
    <x v="1"/>
    <n v="30"/>
    <x v="4"/>
    <x v="0"/>
  </r>
  <r>
    <n v="66745"/>
    <x v="11"/>
    <x v="8"/>
    <x v="2"/>
    <x v="2"/>
    <x v="2"/>
    <x v="1"/>
    <x v="1"/>
    <x v="1"/>
    <n v="30"/>
    <x v="2"/>
    <x v="0"/>
  </r>
  <r>
    <n v="66746"/>
    <x v="11"/>
    <x v="8"/>
    <x v="4"/>
    <x v="4"/>
    <x v="1"/>
    <x v="1"/>
    <x v="1"/>
    <x v="1"/>
    <n v="30"/>
    <x v="5"/>
    <x v="0"/>
  </r>
  <r>
    <n v="66747"/>
    <x v="11"/>
    <x v="8"/>
    <x v="4"/>
    <x v="4"/>
    <x v="2"/>
    <x v="1"/>
    <x v="1"/>
    <x v="1"/>
    <n v="30"/>
    <x v="6"/>
    <x v="0"/>
  </r>
  <r>
    <n v="66748"/>
    <x v="11"/>
    <x v="8"/>
    <x v="5"/>
    <x v="5"/>
    <x v="2"/>
    <x v="1"/>
    <x v="1"/>
    <x v="1"/>
    <n v="30"/>
    <x v="7"/>
    <x v="0"/>
  </r>
  <r>
    <n v="66749"/>
    <x v="11"/>
    <x v="8"/>
    <x v="6"/>
    <x v="6"/>
    <x v="2"/>
    <x v="1"/>
    <x v="1"/>
    <x v="1"/>
    <n v="30"/>
    <x v="8"/>
    <x v="0"/>
  </r>
  <r>
    <n v="66750"/>
    <x v="11"/>
    <x v="8"/>
    <x v="1"/>
    <x v="1"/>
    <x v="1"/>
    <x v="1"/>
    <x v="1"/>
    <x v="1"/>
    <n v="30"/>
    <x v="1"/>
    <x v="0"/>
  </r>
  <r>
    <n v="66751"/>
    <x v="11"/>
    <x v="8"/>
    <x v="1"/>
    <x v="1"/>
    <x v="2"/>
    <x v="1"/>
    <x v="1"/>
    <x v="1"/>
    <n v="30"/>
    <x v="9"/>
    <x v="0"/>
  </r>
  <r>
    <n v="66752"/>
    <x v="11"/>
    <x v="6"/>
    <x v="0"/>
    <x v="0"/>
    <x v="3"/>
    <x v="1"/>
    <x v="1"/>
    <x v="1"/>
    <n v="30"/>
    <x v="10"/>
    <x v="0"/>
  </r>
  <r>
    <n v="66753"/>
    <x v="11"/>
    <x v="6"/>
    <x v="3"/>
    <x v="3"/>
    <x v="3"/>
    <x v="1"/>
    <x v="1"/>
    <x v="1"/>
    <n v="30"/>
    <x v="11"/>
    <x v="0"/>
  </r>
  <r>
    <n v="66754"/>
    <x v="11"/>
    <x v="8"/>
    <x v="7"/>
    <x v="7"/>
    <x v="1"/>
    <x v="1"/>
    <x v="1"/>
    <x v="1"/>
    <n v="30"/>
    <x v="12"/>
    <x v="0"/>
  </r>
  <r>
    <n v="66755"/>
    <x v="11"/>
    <x v="8"/>
    <x v="8"/>
    <x v="8"/>
    <x v="1"/>
    <x v="1"/>
    <x v="1"/>
    <x v="1"/>
    <n v="30"/>
    <x v="13"/>
    <x v="0"/>
  </r>
  <r>
    <n v="66756"/>
    <x v="11"/>
    <x v="8"/>
    <x v="9"/>
    <x v="9"/>
    <x v="2"/>
    <x v="1"/>
    <x v="1"/>
    <x v="1"/>
    <n v="30"/>
    <x v="14"/>
    <x v="0"/>
  </r>
  <r>
    <n v="66757"/>
    <x v="11"/>
    <x v="8"/>
    <x v="10"/>
    <x v="10"/>
    <x v="2"/>
    <x v="1"/>
    <x v="1"/>
    <x v="1"/>
    <n v="30"/>
    <x v="15"/>
    <x v="0"/>
  </r>
  <r>
    <n v="66758"/>
    <x v="11"/>
    <x v="8"/>
    <x v="11"/>
    <x v="11"/>
    <x v="2"/>
    <x v="1"/>
    <x v="1"/>
    <x v="1"/>
    <n v="30"/>
    <x v="16"/>
    <x v="0"/>
  </r>
  <r>
    <n v="66759"/>
    <x v="11"/>
    <x v="8"/>
    <x v="12"/>
    <x v="12"/>
    <x v="2"/>
    <x v="1"/>
    <x v="1"/>
    <x v="1"/>
    <n v="30"/>
    <x v="17"/>
    <x v="0"/>
  </r>
  <r>
    <n v="66760"/>
    <x v="11"/>
    <x v="6"/>
    <x v="0"/>
    <x v="0"/>
    <x v="0"/>
    <x v="1"/>
    <x v="1"/>
    <x v="1"/>
    <n v="30"/>
    <x v="0"/>
    <x v="0"/>
  </r>
  <r>
    <n v="66761"/>
    <x v="11"/>
    <x v="6"/>
    <x v="3"/>
    <x v="3"/>
    <x v="0"/>
    <x v="1"/>
    <x v="1"/>
    <x v="1"/>
    <n v="30"/>
    <x v="3"/>
    <x v="0"/>
  </r>
  <r>
    <n v="66762"/>
    <x v="12"/>
    <x v="8"/>
    <x v="2"/>
    <x v="2"/>
    <x v="1"/>
    <x v="1"/>
    <x v="1"/>
    <x v="1"/>
    <n v="31"/>
    <x v="4"/>
    <x v="0"/>
  </r>
  <r>
    <n v="66763"/>
    <x v="12"/>
    <x v="8"/>
    <x v="2"/>
    <x v="2"/>
    <x v="2"/>
    <x v="1"/>
    <x v="1"/>
    <x v="1"/>
    <n v="31"/>
    <x v="2"/>
    <x v="0"/>
  </r>
  <r>
    <n v="66764"/>
    <x v="12"/>
    <x v="8"/>
    <x v="4"/>
    <x v="4"/>
    <x v="1"/>
    <x v="1"/>
    <x v="1"/>
    <x v="1"/>
    <n v="31"/>
    <x v="5"/>
    <x v="0"/>
  </r>
  <r>
    <n v="66765"/>
    <x v="12"/>
    <x v="8"/>
    <x v="4"/>
    <x v="4"/>
    <x v="2"/>
    <x v="1"/>
    <x v="1"/>
    <x v="1"/>
    <n v="31"/>
    <x v="6"/>
    <x v="0"/>
  </r>
  <r>
    <n v="66766"/>
    <x v="12"/>
    <x v="8"/>
    <x v="5"/>
    <x v="5"/>
    <x v="2"/>
    <x v="1"/>
    <x v="1"/>
    <x v="1"/>
    <n v="31"/>
    <x v="7"/>
    <x v="0"/>
  </r>
  <r>
    <n v="66767"/>
    <x v="12"/>
    <x v="8"/>
    <x v="6"/>
    <x v="6"/>
    <x v="2"/>
    <x v="1"/>
    <x v="1"/>
    <x v="1"/>
    <n v="31"/>
    <x v="8"/>
    <x v="0"/>
  </r>
  <r>
    <n v="66768"/>
    <x v="12"/>
    <x v="8"/>
    <x v="1"/>
    <x v="1"/>
    <x v="1"/>
    <x v="1"/>
    <x v="1"/>
    <x v="1"/>
    <n v="31"/>
    <x v="1"/>
    <x v="0"/>
  </r>
  <r>
    <n v="66769"/>
    <x v="12"/>
    <x v="8"/>
    <x v="1"/>
    <x v="1"/>
    <x v="2"/>
    <x v="1"/>
    <x v="1"/>
    <x v="1"/>
    <n v="31"/>
    <x v="9"/>
    <x v="0"/>
  </r>
  <r>
    <n v="66770"/>
    <x v="12"/>
    <x v="6"/>
    <x v="0"/>
    <x v="0"/>
    <x v="3"/>
    <x v="1"/>
    <x v="1"/>
    <x v="1"/>
    <n v="31"/>
    <x v="10"/>
    <x v="0"/>
  </r>
  <r>
    <n v="66771"/>
    <x v="12"/>
    <x v="6"/>
    <x v="3"/>
    <x v="3"/>
    <x v="3"/>
    <x v="1"/>
    <x v="1"/>
    <x v="1"/>
    <n v="31"/>
    <x v="11"/>
    <x v="0"/>
  </r>
  <r>
    <n v="66772"/>
    <x v="12"/>
    <x v="8"/>
    <x v="7"/>
    <x v="7"/>
    <x v="1"/>
    <x v="1"/>
    <x v="1"/>
    <x v="1"/>
    <n v="31"/>
    <x v="12"/>
    <x v="0"/>
  </r>
  <r>
    <n v="66773"/>
    <x v="12"/>
    <x v="8"/>
    <x v="8"/>
    <x v="8"/>
    <x v="1"/>
    <x v="1"/>
    <x v="1"/>
    <x v="1"/>
    <n v="31"/>
    <x v="13"/>
    <x v="0"/>
  </r>
  <r>
    <n v="66774"/>
    <x v="12"/>
    <x v="8"/>
    <x v="9"/>
    <x v="9"/>
    <x v="2"/>
    <x v="1"/>
    <x v="1"/>
    <x v="1"/>
    <n v="31"/>
    <x v="14"/>
    <x v="0"/>
  </r>
  <r>
    <n v="66775"/>
    <x v="12"/>
    <x v="8"/>
    <x v="10"/>
    <x v="10"/>
    <x v="2"/>
    <x v="1"/>
    <x v="1"/>
    <x v="1"/>
    <n v="31"/>
    <x v="15"/>
    <x v="0"/>
  </r>
  <r>
    <n v="66776"/>
    <x v="12"/>
    <x v="8"/>
    <x v="11"/>
    <x v="11"/>
    <x v="2"/>
    <x v="1"/>
    <x v="1"/>
    <x v="1"/>
    <n v="31"/>
    <x v="16"/>
    <x v="0"/>
  </r>
  <r>
    <n v="66777"/>
    <x v="12"/>
    <x v="8"/>
    <x v="12"/>
    <x v="12"/>
    <x v="2"/>
    <x v="1"/>
    <x v="1"/>
    <x v="1"/>
    <n v="31"/>
    <x v="17"/>
    <x v="0"/>
  </r>
  <r>
    <n v="66778"/>
    <x v="12"/>
    <x v="6"/>
    <x v="0"/>
    <x v="0"/>
    <x v="0"/>
    <x v="1"/>
    <x v="1"/>
    <x v="1"/>
    <n v="31"/>
    <x v="0"/>
    <x v="0"/>
  </r>
  <r>
    <n v="66779"/>
    <x v="12"/>
    <x v="6"/>
    <x v="3"/>
    <x v="3"/>
    <x v="0"/>
    <x v="1"/>
    <x v="1"/>
    <x v="1"/>
    <n v="31"/>
    <x v="3"/>
    <x v="0"/>
  </r>
  <r>
    <n v="66780"/>
    <x v="13"/>
    <x v="8"/>
    <x v="2"/>
    <x v="2"/>
    <x v="1"/>
    <x v="1"/>
    <x v="1"/>
    <x v="1"/>
    <n v="32"/>
    <x v="4"/>
    <x v="0"/>
  </r>
  <r>
    <n v="66781"/>
    <x v="13"/>
    <x v="8"/>
    <x v="2"/>
    <x v="2"/>
    <x v="2"/>
    <x v="1"/>
    <x v="1"/>
    <x v="1"/>
    <n v="32"/>
    <x v="2"/>
    <x v="0"/>
  </r>
  <r>
    <n v="66782"/>
    <x v="13"/>
    <x v="8"/>
    <x v="4"/>
    <x v="4"/>
    <x v="1"/>
    <x v="1"/>
    <x v="1"/>
    <x v="1"/>
    <n v="32"/>
    <x v="5"/>
    <x v="0"/>
  </r>
  <r>
    <n v="66783"/>
    <x v="13"/>
    <x v="8"/>
    <x v="4"/>
    <x v="4"/>
    <x v="2"/>
    <x v="1"/>
    <x v="1"/>
    <x v="1"/>
    <n v="32"/>
    <x v="6"/>
    <x v="0"/>
  </r>
  <r>
    <n v="66784"/>
    <x v="13"/>
    <x v="8"/>
    <x v="5"/>
    <x v="5"/>
    <x v="2"/>
    <x v="1"/>
    <x v="1"/>
    <x v="1"/>
    <n v="32"/>
    <x v="7"/>
    <x v="0"/>
  </r>
  <r>
    <n v="66785"/>
    <x v="13"/>
    <x v="8"/>
    <x v="6"/>
    <x v="6"/>
    <x v="2"/>
    <x v="1"/>
    <x v="1"/>
    <x v="1"/>
    <n v="32"/>
    <x v="8"/>
    <x v="0"/>
  </r>
  <r>
    <n v="66786"/>
    <x v="13"/>
    <x v="8"/>
    <x v="1"/>
    <x v="1"/>
    <x v="1"/>
    <x v="1"/>
    <x v="1"/>
    <x v="1"/>
    <n v="32"/>
    <x v="1"/>
    <x v="0"/>
  </r>
  <r>
    <n v="66787"/>
    <x v="13"/>
    <x v="8"/>
    <x v="1"/>
    <x v="1"/>
    <x v="2"/>
    <x v="1"/>
    <x v="1"/>
    <x v="1"/>
    <n v="32"/>
    <x v="9"/>
    <x v="0"/>
  </r>
  <r>
    <n v="66788"/>
    <x v="13"/>
    <x v="6"/>
    <x v="0"/>
    <x v="0"/>
    <x v="3"/>
    <x v="1"/>
    <x v="1"/>
    <x v="1"/>
    <n v="32"/>
    <x v="10"/>
    <x v="0"/>
  </r>
  <r>
    <n v="66789"/>
    <x v="13"/>
    <x v="6"/>
    <x v="3"/>
    <x v="3"/>
    <x v="3"/>
    <x v="1"/>
    <x v="1"/>
    <x v="1"/>
    <n v="32"/>
    <x v="11"/>
    <x v="0"/>
  </r>
  <r>
    <n v="66790"/>
    <x v="13"/>
    <x v="8"/>
    <x v="7"/>
    <x v="7"/>
    <x v="1"/>
    <x v="1"/>
    <x v="1"/>
    <x v="1"/>
    <n v="32"/>
    <x v="12"/>
    <x v="0"/>
  </r>
  <r>
    <n v="66791"/>
    <x v="13"/>
    <x v="8"/>
    <x v="8"/>
    <x v="8"/>
    <x v="1"/>
    <x v="1"/>
    <x v="1"/>
    <x v="1"/>
    <n v="32"/>
    <x v="13"/>
    <x v="0"/>
  </r>
  <r>
    <n v="66792"/>
    <x v="13"/>
    <x v="8"/>
    <x v="9"/>
    <x v="9"/>
    <x v="2"/>
    <x v="1"/>
    <x v="1"/>
    <x v="1"/>
    <n v="32"/>
    <x v="14"/>
    <x v="0"/>
  </r>
  <r>
    <n v="66793"/>
    <x v="13"/>
    <x v="8"/>
    <x v="10"/>
    <x v="10"/>
    <x v="2"/>
    <x v="1"/>
    <x v="1"/>
    <x v="1"/>
    <n v="32"/>
    <x v="15"/>
    <x v="0"/>
  </r>
  <r>
    <n v="66794"/>
    <x v="13"/>
    <x v="8"/>
    <x v="11"/>
    <x v="11"/>
    <x v="2"/>
    <x v="1"/>
    <x v="1"/>
    <x v="1"/>
    <n v="32"/>
    <x v="16"/>
    <x v="0"/>
  </r>
  <r>
    <n v="66795"/>
    <x v="13"/>
    <x v="8"/>
    <x v="12"/>
    <x v="12"/>
    <x v="2"/>
    <x v="1"/>
    <x v="1"/>
    <x v="1"/>
    <n v="32"/>
    <x v="17"/>
    <x v="0"/>
  </r>
  <r>
    <n v="66796"/>
    <x v="13"/>
    <x v="6"/>
    <x v="0"/>
    <x v="0"/>
    <x v="0"/>
    <x v="1"/>
    <x v="1"/>
    <x v="1"/>
    <n v="32"/>
    <x v="0"/>
    <x v="0"/>
  </r>
  <r>
    <n v="66797"/>
    <x v="13"/>
    <x v="6"/>
    <x v="3"/>
    <x v="3"/>
    <x v="0"/>
    <x v="1"/>
    <x v="1"/>
    <x v="1"/>
    <n v="32"/>
    <x v="3"/>
    <x v="0"/>
  </r>
  <r>
    <n v="66798"/>
    <x v="14"/>
    <x v="8"/>
    <x v="2"/>
    <x v="2"/>
    <x v="1"/>
    <x v="1"/>
    <x v="1"/>
    <x v="1"/>
    <n v="33"/>
    <x v="4"/>
    <x v="0"/>
  </r>
  <r>
    <n v="66799"/>
    <x v="14"/>
    <x v="8"/>
    <x v="2"/>
    <x v="2"/>
    <x v="2"/>
    <x v="1"/>
    <x v="1"/>
    <x v="1"/>
    <n v="33"/>
    <x v="2"/>
    <x v="0"/>
  </r>
  <r>
    <n v="66800"/>
    <x v="14"/>
    <x v="8"/>
    <x v="4"/>
    <x v="4"/>
    <x v="1"/>
    <x v="1"/>
    <x v="1"/>
    <x v="1"/>
    <n v="33"/>
    <x v="5"/>
    <x v="0"/>
  </r>
  <r>
    <n v="66801"/>
    <x v="14"/>
    <x v="8"/>
    <x v="4"/>
    <x v="4"/>
    <x v="2"/>
    <x v="1"/>
    <x v="1"/>
    <x v="1"/>
    <n v="33"/>
    <x v="6"/>
    <x v="0"/>
  </r>
  <r>
    <n v="66802"/>
    <x v="14"/>
    <x v="8"/>
    <x v="5"/>
    <x v="5"/>
    <x v="2"/>
    <x v="1"/>
    <x v="1"/>
    <x v="1"/>
    <n v="33"/>
    <x v="7"/>
    <x v="0"/>
  </r>
  <r>
    <n v="66803"/>
    <x v="14"/>
    <x v="8"/>
    <x v="6"/>
    <x v="6"/>
    <x v="2"/>
    <x v="1"/>
    <x v="1"/>
    <x v="1"/>
    <n v="33"/>
    <x v="8"/>
    <x v="0"/>
  </r>
  <r>
    <n v="66804"/>
    <x v="14"/>
    <x v="8"/>
    <x v="1"/>
    <x v="1"/>
    <x v="1"/>
    <x v="1"/>
    <x v="1"/>
    <x v="1"/>
    <n v="33"/>
    <x v="1"/>
    <x v="0"/>
  </r>
  <r>
    <n v="66805"/>
    <x v="14"/>
    <x v="8"/>
    <x v="1"/>
    <x v="1"/>
    <x v="2"/>
    <x v="1"/>
    <x v="1"/>
    <x v="1"/>
    <n v="33"/>
    <x v="9"/>
    <x v="0"/>
  </r>
  <r>
    <n v="66806"/>
    <x v="14"/>
    <x v="6"/>
    <x v="0"/>
    <x v="0"/>
    <x v="3"/>
    <x v="1"/>
    <x v="1"/>
    <x v="1"/>
    <n v="33"/>
    <x v="10"/>
    <x v="0"/>
  </r>
  <r>
    <n v="66807"/>
    <x v="14"/>
    <x v="6"/>
    <x v="3"/>
    <x v="3"/>
    <x v="3"/>
    <x v="1"/>
    <x v="1"/>
    <x v="1"/>
    <n v="33"/>
    <x v="11"/>
    <x v="0"/>
  </r>
  <r>
    <n v="66808"/>
    <x v="14"/>
    <x v="8"/>
    <x v="7"/>
    <x v="7"/>
    <x v="1"/>
    <x v="1"/>
    <x v="1"/>
    <x v="1"/>
    <n v="33"/>
    <x v="12"/>
    <x v="0"/>
  </r>
  <r>
    <n v="66809"/>
    <x v="14"/>
    <x v="8"/>
    <x v="8"/>
    <x v="8"/>
    <x v="1"/>
    <x v="1"/>
    <x v="1"/>
    <x v="1"/>
    <n v="33"/>
    <x v="13"/>
    <x v="0"/>
  </r>
  <r>
    <n v="66810"/>
    <x v="14"/>
    <x v="8"/>
    <x v="9"/>
    <x v="9"/>
    <x v="2"/>
    <x v="1"/>
    <x v="1"/>
    <x v="1"/>
    <n v="33"/>
    <x v="14"/>
    <x v="0"/>
  </r>
  <r>
    <n v="66811"/>
    <x v="14"/>
    <x v="8"/>
    <x v="10"/>
    <x v="10"/>
    <x v="2"/>
    <x v="1"/>
    <x v="1"/>
    <x v="1"/>
    <n v="33"/>
    <x v="15"/>
    <x v="0"/>
  </r>
  <r>
    <n v="66812"/>
    <x v="14"/>
    <x v="8"/>
    <x v="11"/>
    <x v="11"/>
    <x v="2"/>
    <x v="1"/>
    <x v="1"/>
    <x v="1"/>
    <n v="33"/>
    <x v="16"/>
    <x v="0"/>
  </r>
  <r>
    <n v="66813"/>
    <x v="14"/>
    <x v="8"/>
    <x v="12"/>
    <x v="12"/>
    <x v="2"/>
    <x v="1"/>
    <x v="1"/>
    <x v="1"/>
    <n v="33"/>
    <x v="17"/>
    <x v="0"/>
  </r>
  <r>
    <n v="66814"/>
    <x v="14"/>
    <x v="6"/>
    <x v="0"/>
    <x v="0"/>
    <x v="0"/>
    <x v="1"/>
    <x v="1"/>
    <x v="1"/>
    <n v="33"/>
    <x v="0"/>
    <x v="0"/>
  </r>
  <r>
    <n v="66815"/>
    <x v="14"/>
    <x v="6"/>
    <x v="3"/>
    <x v="3"/>
    <x v="0"/>
    <x v="1"/>
    <x v="1"/>
    <x v="1"/>
    <n v="33"/>
    <x v="3"/>
    <x v="0"/>
  </r>
  <r>
    <n v="66816"/>
    <x v="15"/>
    <x v="8"/>
    <x v="2"/>
    <x v="2"/>
    <x v="1"/>
    <x v="1"/>
    <x v="1"/>
    <x v="1"/>
    <n v="34"/>
    <x v="4"/>
    <x v="0"/>
  </r>
  <r>
    <n v="66817"/>
    <x v="15"/>
    <x v="8"/>
    <x v="2"/>
    <x v="2"/>
    <x v="2"/>
    <x v="1"/>
    <x v="1"/>
    <x v="1"/>
    <n v="34"/>
    <x v="2"/>
    <x v="0"/>
  </r>
  <r>
    <n v="66818"/>
    <x v="15"/>
    <x v="8"/>
    <x v="4"/>
    <x v="4"/>
    <x v="1"/>
    <x v="1"/>
    <x v="1"/>
    <x v="1"/>
    <n v="34"/>
    <x v="5"/>
    <x v="0"/>
  </r>
  <r>
    <n v="66819"/>
    <x v="15"/>
    <x v="8"/>
    <x v="4"/>
    <x v="4"/>
    <x v="2"/>
    <x v="1"/>
    <x v="1"/>
    <x v="1"/>
    <n v="34"/>
    <x v="6"/>
    <x v="0"/>
  </r>
  <r>
    <n v="66820"/>
    <x v="15"/>
    <x v="8"/>
    <x v="5"/>
    <x v="5"/>
    <x v="2"/>
    <x v="1"/>
    <x v="1"/>
    <x v="1"/>
    <n v="34"/>
    <x v="7"/>
    <x v="0"/>
  </r>
  <r>
    <n v="66821"/>
    <x v="15"/>
    <x v="8"/>
    <x v="6"/>
    <x v="6"/>
    <x v="2"/>
    <x v="1"/>
    <x v="1"/>
    <x v="1"/>
    <n v="34"/>
    <x v="8"/>
    <x v="0"/>
  </r>
  <r>
    <n v="66822"/>
    <x v="15"/>
    <x v="8"/>
    <x v="1"/>
    <x v="1"/>
    <x v="1"/>
    <x v="1"/>
    <x v="1"/>
    <x v="1"/>
    <n v="34"/>
    <x v="1"/>
    <x v="0"/>
  </r>
  <r>
    <n v="66823"/>
    <x v="15"/>
    <x v="8"/>
    <x v="1"/>
    <x v="1"/>
    <x v="2"/>
    <x v="1"/>
    <x v="1"/>
    <x v="1"/>
    <n v="34"/>
    <x v="9"/>
    <x v="0"/>
  </r>
  <r>
    <n v="66824"/>
    <x v="15"/>
    <x v="6"/>
    <x v="0"/>
    <x v="0"/>
    <x v="3"/>
    <x v="1"/>
    <x v="1"/>
    <x v="1"/>
    <n v="34"/>
    <x v="10"/>
    <x v="0"/>
  </r>
  <r>
    <n v="66825"/>
    <x v="15"/>
    <x v="6"/>
    <x v="3"/>
    <x v="3"/>
    <x v="3"/>
    <x v="1"/>
    <x v="1"/>
    <x v="1"/>
    <n v="34"/>
    <x v="11"/>
    <x v="0"/>
  </r>
  <r>
    <n v="66826"/>
    <x v="15"/>
    <x v="8"/>
    <x v="7"/>
    <x v="7"/>
    <x v="1"/>
    <x v="1"/>
    <x v="1"/>
    <x v="1"/>
    <n v="34"/>
    <x v="12"/>
    <x v="0"/>
  </r>
  <r>
    <n v="66827"/>
    <x v="15"/>
    <x v="8"/>
    <x v="8"/>
    <x v="8"/>
    <x v="1"/>
    <x v="1"/>
    <x v="1"/>
    <x v="1"/>
    <n v="34"/>
    <x v="13"/>
    <x v="0"/>
  </r>
  <r>
    <n v="66828"/>
    <x v="15"/>
    <x v="8"/>
    <x v="9"/>
    <x v="9"/>
    <x v="2"/>
    <x v="1"/>
    <x v="1"/>
    <x v="1"/>
    <n v="34"/>
    <x v="14"/>
    <x v="0"/>
  </r>
  <r>
    <n v="66829"/>
    <x v="15"/>
    <x v="8"/>
    <x v="10"/>
    <x v="10"/>
    <x v="2"/>
    <x v="1"/>
    <x v="1"/>
    <x v="1"/>
    <n v="34"/>
    <x v="15"/>
    <x v="0"/>
  </r>
  <r>
    <n v="66830"/>
    <x v="15"/>
    <x v="8"/>
    <x v="11"/>
    <x v="11"/>
    <x v="2"/>
    <x v="1"/>
    <x v="1"/>
    <x v="1"/>
    <n v="34"/>
    <x v="16"/>
    <x v="0"/>
  </r>
  <r>
    <n v="66831"/>
    <x v="15"/>
    <x v="8"/>
    <x v="12"/>
    <x v="12"/>
    <x v="2"/>
    <x v="1"/>
    <x v="1"/>
    <x v="1"/>
    <n v="34"/>
    <x v="17"/>
    <x v="0"/>
  </r>
  <r>
    <n v="66832"/>
    <x v="15"/>
    <x v="6"/>
    <x v="0"/>
    <x v="0"/>
    <x v="0"/>
    <x v="1"/>
    <x v="1"/>
    <x v="1"/>
    <n v="34"/>
    <x v="0"/>
    <x v="0"/>
  </r>
  <r>
    <n v="66833"/>
    <x v="15"/>
    <x v="6"/>
    <x v="3"/>
    <x v="3"/>
    <x v="0"/>
    <x v="1"/>
    <x v="1"/>
    <x v="1"/>
    <n v="34"/>
    <x v="3"/>
    <x v="0"/>
  </r>
  <r>
    <n v="66834"/>
    <x v="16"/>
    <x v="8"/>
    <x v="2"/>
    <x v="2"/>
    <x v="1"/>
    <x v="5"/>
    <x v="1"/>
    <x v="1"/>
    <n v="35"/>
    <x v="4"/>
    <x v="0"/>
  </r>
  <r>
    <n v="66835"/>
    <x v="16"/>
    <x v="8"/>
    <x v="2"/>
    <x v="2"/>
    <x v="2"/>
    <x v="5"/>
    <x v="1"/>
    <x v="1"/>
    <n v="35"/>
    <x v="2"/>
    <x v="0"/>
  </r>
  <r>
    <n v="66836"/>
    <x v="16"/>
    <x v="8"/>
    <x v="4"/>
    <x v="4"/>
    <x v="1"/>
    <x v="5"/>
    <x v="1"/>
    <x v="1"/>
    <n v="35"/>
    <x v="5"/>
    <x v="0"/>
  </r>
  <r>
    <n v="66837"/>
    <x v="16"/>
    <x v="8"/>
    <x v="4"/>
    <x v="4"/>
    <x v="2"/>
    <x v="5"/>
    <x v="1"/>
    <x v="1"/>
    <n v="35"/>
    <x v="6"/>
    <x v="0"/>
  </r>
  <r>
    <n v="66838"/>
    <x v="16"/>
    <x v="8"/>
    <x v="5"/>
    <x v="5"/>
    <x v="2"/>
    <x v="5"/>
    <x v="1"/>
    <x v="1"/>
    <n v="35"/>
    <x v="7"/>
    <x v="0"/>
  </r>
  <r>
    <n v="66839"/>
    <x v="16"/>
    <x v="8"/>
    <x v="6"/>
    <x v="6"/>
    <x v="2"/>
    <x v="5"/>
    <x v="1"/>
    <x v="1"/>
    <n v="35"/>
    <x v="8"/>
    <x v="0"/>
  </r>
  <r>
    <n v="66840"/>
    <x v="16"/>
    <x v="8"/>
    <x v="1"/>
    <x v="1"/>
    <x v="1"/>
    <x v="5"/>
    <x v="1"/>
    <x v="1"/>
    <n v="35"/>
    <x v="1"/>
    <x v="0"/>
  </r>
  <r>
    <n v="66841"/>
    <x v="16"/>
    <x v="8"/>
    <x v="1"/>
    <x v="1"/>
    <x v="2"/>
    <x v="5"/>
    <x v="1"/>
    <x v="1"/>
    <n v="35"/>
    <x v="9"/>
    <x v="0"/>
  </r>
  <r>
    <n v="66842"/>
    <x v="16"/>
    <x v="6"/>
    <x v="0"/>
    <x v="0"/>
    <x v="3"/>
    <x v="5"/>
    <x v="1"/>
    <x v="1"/>
    <n v="35"/>
    <x v="10"/>
    <x v="0"/>
  </r>
  <r>
    <n v="66843"/>
    <x v="16"/>
    <x v="6"/>
    <x v="3"/>
    <x v="3"/>
    <x v="3"/>
    <x v="5"/>
    <x v="1"/>
    <x v="1"/>
    <n v="35"/>
    <x v="11"/>
    <x v="0"/>
  </r>
  <r>
    <n v="66844"/>
    <x v="16"/>
    <x v="8"/>
    <x v="7"/>
    <x v="7"/>
    <x v="1"/>
    <x v="5"/>
    <x v="1"/>
    <x v="1"/>
    <n v="35"/>
    <x v="12"/>
    <x v="0"/>
  </r>
  <r>
    <n v="66845"/>
    <x v="16"/>
    <x v="8"/>
    <x v="8"/>
    <x v="8"/>
    <x v="1"/>
    <x v="5"/>
    <x v="1"/>
    <x v="1"/>
    <n v="35"/>
    <x v="13"/>
    <x v="0"/>
  </r>
  <r>
    <n v="66846"/>
    <x v="16"/>
    <x v="8"/>
    <x v="9"/>
    <x v="9"/>
    <x v="2"/>
    <x v="5"/>
    <x v="1"/>
    <x v="1"/>
    <n v="35"/>
    <x v="14"/>
    <x v="0"/>
  </r>
  <r>
    <n v="66847"/>
    <x v="16"/>
    <x v="8"/>
    <x v="10"/>
    <x v="10"/>
    <x v="2"/>
    <x v="5"/>
    <x v="1"/>
    <x v="1"/>
    <n v="35"/>
    <x v="15"/>
    <x v="0"/>
  </r>
  <r>
    <n v="66848"/>
    <x v="16"/>
    <x v="8"/>
    <x v="11"/>
    <x v="11"/>
    <x v="2"/>
    <x v="5"/>
    <x v="1"/>
    <x v="1"/>
    <n v="35"/>
    <x v="16"/>
    <x v="0"/>
  </r>
  <r>
    <n v="66849"/>
    <x v="16"/>
    <x v="8"/>
    <x v="12"/>
    <x v="12"/>
    <x v="2"/>
    <x v="5"/>
    <x v="1"/>
    <x v="1"/>
    <n v="35"/>
    <x v="17"/>
    <x v="0"/>
  </r>
  <r>
    <n v="66850"/>
    <x v="16"/>
    <x v="6"/>
    <x v="0"/>
    <x v="0"/>
    <x v="0"/>
    <x v="5"/>
    <x v="1"/>
    <x v="1"/>
    <n v="35"/>
    <x v="0"/>
    <x v="0"/>
  </r>
  <r>
    <n v="66851"/>
    <x v="16"/>
    <x v="6"/>
    <x v="3"/>
    <x v="3"/>
    <x v="0"/>
    <x v="5"/>
    <x v="1"/>
    <x v="1"/>
    <n v="35"/>
    <x v="3"/>
    <x v="0"/>
  </r>
  <r>
    <n v="66852"/>
    <x v="17"/>
    <x v="8"/>
    <x v="2"/>
    <x v="2"/>
    <x v="1"/>
    <x v="5"/>
    <x v="1"/>
    <x v="1"/>
    <n v="39"/>
    <x v="4"/>
    <x v="0"/>
  </r>
  <r>
    <n v="66853"/>
    <x v="17"/>
    <x v="8"/>
    <x v="2"/>
    <x v="2"/>
    <x v="2"/>
    <x v="5"/>
    <x v="1"/>
    <x v="1"/>
    <n v="39"/>
    <x v="2"/>
    <x v="0"/>
  </r>
  <r>
    <n v="66854"/>
    <x v="17"/>
    <x v="8"/>
    <x v="4"/>
    <x v="4"/>
    <x v="1"/>
    <x v="5"/>
    <x v="1"/>
    <x v="1"/>
    <n v="39"/>
    <x v="5"/>
    <x v="0"/>
  </r>
  <r>
    <n v="66855"/>
    <x v="17"/>
    <x v="8"/>
    <x v="4"/>
    <x v="4"/>
    <x v="2"/>
    <x v="5"/>
    <x v="1"/>
    <x v="1"/>
    <n v="39"/>
    <x v="6"/>
    <x v="0"/>
  </r>
  <r>
    <n v="66856"/>
    <x v="17"/>
    <x v="8"/>
    <x v="5"/>
    <x v="5"/>
    <x v="2"/>
    <x v="5"/>
    <x v="1"/>
    <x v="1"/>
    <n v="39"/>
    <x v="7"/>
    <x v="0"/>
  </r>
  <r>
    <n v="66857"/>
    <x v="17"/>
    <x v="8"/>
    <x v="6"/>
    <x v="6"/>
    <x v="2"/>
    <x v="5"/>
    <x v="1"/>
    <x v="1"/>
    <n v="39"/>
    <x v="8"/>
    <x v="0"/>
  </r>
  <r>
    <n v="66858"/>
    <x v="17"/>
    <x v="8"/>
    <x v="1"/>
    <x v="1"/>
    <x v="1"/>
    <x v="5"/>
    <x v="1"/>
    <x v="1"/>
    <n v="39"/>
    <x v="1"/>
    <x v="0"/>
  </r>
  <r>
    <n v="66859"/>
    <x v="17"/>
    <x v="8"/>
    <x v="1"/>
    <x v="1"/>
    <x v="2"/>
    <x v="5"/>
    <x v="1"/>
    <x v="1"/>
    <n v="39"/>
    <x v="9"/>
    <x v="0"/>
  </r>
  <r>
    <n v="66860"/>
    <x v="17"/>
    <x v="6"/>
    <x v="0"/>
    <x v="0"/>
    <x v="3"/>
    <x v="5"/>
    <x v="1"/>
    <x v="1"/>
    <n v="39"/>
    <x v="10"/>
    <x v="0"/>
  </r>
  <r>
    <n v="66861"/>
    <x v="17"/>
    <x v="6"/>
    <x v="3"/>
    <x v="3"/>
    <x v="3"/>
    <x v="5"/>
    <x v="1"/>
    <x v="1"/>
    <n v="39"/>
    <x v="11"/>
    <x v="0"/>
  </r>
  <r>
    <n v="66862"/>
    <x v="17"/>
    <x v="8"/>
    <x v="7"/>
    <x v="7"/>
    <x v="1"/>
    <x v="5"/>
    <x v="1"/>
    <x v="1"/>
    <n v="39"/>
    <x v="12"/>
    <x v="0"/>
  </r>
  <r>
    <n v="66863"/>
    <x v="17"/>
    <x v="8"/>
    <x v="8"/>
    <x v="8"/>
    <x v="1"/>
    <x v="5"/>
    <x v="1"/>
    <x v="1"/>
    <n v="39"/>
    <x v="13"/>
    <x v="0"/>
  </r>
  <r>
    <n v="66864"/>
    <x v="17"/>
    <x v="8"/>
    <x v="9"/>
    <x v="9"/>
    <x v="2"/>
    <x v="5"/>
    <x v="1"/>
    <x v="1"/>
    <n v="39"/>
    <x v="14"/>
    <x v="0"/>
  </r>
  <r>
    <n v="66865"/>
    <x v="17"/>
    <x v="8"/>
    <x v="10"/>
    <x v="10"/>
    <x v="2"/>
    <x v="5"/>
    <x v="1"/>
    <x v="1"/>
    <n v="39"/>
    <x v="15"/>
    <x v="0"/>
  </r>
  <r>
    <n v="66866"/>
    <x v="17"/>
    <x v="8"/>
    <x v="11"/>
    <x v="11"/>
    <x v="2"/>
    <x v="5"/>
    <x v="1"/>
    <x v="1"/>
    <n v="39"/>
    <x v="16"/>
    <x v="0"/>
  </r>
  <r>
    <n v="66867"/>
    <x v="17"/>
    <x v="8"/>
    <x v="12"/>
    <x v="12"/>
    <x v="2"/>
    <x v="5"/>
    <x v="1"/>
    <x v="1"/>
    <n v="39"/>
    <x v="17"/>
    <x v="0"/>
  </r>
  <r>
    <n v="66868"/>
    <x v="17"/>
    <x v="6"/>
    <x v="0"/>
    <x v="0"/>
    <x v="0"/>
    <x v="5"/>
    <x v="1"/>
    <x v="1"/>
    <n v="39"/>
    <x v="0"/>
    <x v="0"/>
  </r>
  <r>
    <n v="66869"/>
    <x v="17"/>
    <x v="6"/>
    <x v="3"/>
    <x v="3"/>
    <x v="0"/>
    <x v="5"/>
    <x v="1"/>
    <x v="1"/>
    <n v="39"/>
    <x v="3"/>
    <x v="0"/>
  </r>
  <r>
    <n v="66870"/>
    <x v="18"/>
    <x v="8"/>
    <x v="2"/>
    <x v="2"/>
    <x v="1"/>
    <x v="5"/>
    <x v="1"/>
    <x v="1"/>
    <n v="40"/>
    <x v="4"/>
    <x v="0"/>
  </r>
  <r>
    <n v="66871"/>
    <x v="18"/>
    <x v="8"/>
    <x v="2"/>
    <x v="2"/>
    <x v="2"/>
    <x v="5"/>
    <x v="1"/>
    <x v="1"/>
    <n v="40"/>
    <x v="2"/>
    <x v="0"/>
  </r>
  <r>
    <n v="66872"/>
    <x v="18"/>
    <x v="8"/>
    <x v="4"/>
    <x v="4"/>
    <x v="1"/>
    <x v="5"/>
    <x v="1"/>
    <x v="1"/>
    <n v="40"/>
    <x v="5"/>
    <x v="0"/>
  </r>
  <r>
    <n v="66873"/>
    <x v="18"/>
    <x v="8"/>
    <x v="4"/>
    <x v="4"/>
    <x v="2"/>
    <x v="5"/>
    <x v="1"/>
    <x v="1"/>
    <n v="40"/>
    <x v="6"/>
    <x v="0"/>
  </r>
  <r>
    <n v="66874"/>
    <x v="18"/>
    <x v="8"/>
    <x v="5"/>
    <x v="5"/>
    <x v="2"/>
    <x v="5"/>
    <x v="1"/>
    <x v="1"/>
    <n v="40"/>
    <x v="7"/>
    <x v="0"/>
  </r>
  <r>
    <n v="66875"/>
    <x v="18"/>
    <x v="8"/>
    <x v="6"/>
    <x v="6"/>
    <x v="2"/>
    <x v="5"/>
    <x v="1"/>
    <x v="1"/>
    <n v="40"/>
    <x v="8"/>
    <x v="0"/>
  </r>
  <r>
    <n v="66876"/>
    <x v="18"/>
    <x v="8"/>
    <x v="1"/>
    <x v="1"/>
    <x v="1"/>
    <x v="5"/>
    <x v="1"/>
    <x v="1"/>
    <n v="40"/>
    <x v="1"/>
    <x v="0"/>
  </r>
  <r>
    <n v="66877"/>
    <x v="18"/>
    <x v="8"/>
    <x v="1"/>
    <x v="1"/>
    <x v="2"/>
    <x v="5"/>
    <x v="1"/>
    <x v="1"/>
    <n v="40"/>
    <x v="9"/>
    <x v="0"/>
  </r>
  <r>
    <n v="66878"/>
    <x v="18"/>
    <x v="6"/>
    <x v="0"/>
    <x v="0"/>
    <x v="3"/>
    <x v="5"/>
    <x v="1"/>
    <x v="1"/>
    <n v="40"/>
    <x v="10"/>
    <x v="0"/>
  </r>
  <r>
    <n v="66879"/>
    <x v="18"/>
    <x v="6"/>
    <x v="3"/>
    <x v="3"/>
    <x v="3"/>
    <x v="5"/>
    <x v="1"/>
    <x v="1"/>
    <n v="40"/>
    <x v="11"/>
    <x v="0"/>
  </r>
  <r>
    <n v="66880"/>
    <x v="18"/>
    <x v="8"/>
    <x v="7"/>
    <x v="7"/>
    <x v="1"/>
    <x v="5"/>
    <x v="1"/>
    <x v="1"/>
    <n v="40"/>
    <x v="12"/>
    <x v="0"/>
  </r>
  <r>
    <n v="66881"/>
    <x v="18"/>
    <x v="8"/>
    <x v="8"/>
    <x v="8"/>
    <x v="1"/>
    <x v="5"/>
    <x v="1"/>
    <x v="1"/>
    <n v="40"/>
    <x v="13"/>
    <x v="0"/>
  </r>
  <r>
    <n v="66882"/>
    <x v="18"/>
    <x v="8"/>
    <x v="9"/>
    <x v="9"/>
    <x v="2"/>
    <x v="5"/>
    <x v="1"/>
    <x v="1"/>
    <n v="40"/>
    <x v="14"/>
    <x v="0"/>
  </r>
  <r>
    <n v="66883"/>
    <x v="18"/>
    <x v="8"/>
    <x v="10"/>
    <x v="10"/>
    <x v="2"/>
    <x v="5"/>
    <x v="1"/>
    <x v="1"/>
    <n v="40"/>
    <x v="15"/>
    <x v="0"/>
  </r>
  <r>
    <n v="66884"/>
    <x v="18"/>
    <x v="8"/>
    <x v="11"/>
    <x v="11"/>
    <x v="2"/>
    <x v="5"/>
    <x v="1"/>
    <x v="1"/>
    <n v="40"/>
    <x v="16"/>
    <x v="0"/>
  </r>
  <r>
    <n v="66885"/>
    <x v="18"/>
    <x v="8"/>
    <x v="12"/>
    <x v="12"/>
    <x v="2"/>
    <x v="5"/>
    <x v="1"/>
    <x v="1"/>
    <n v="40"/>
    <x v="17"/>
    <x v="0"/>
  </r>
  <r>
    <n v="66886"/>
    <x v="18"/>
    <x v="6"/>
    <x v="0"/>
    <x v="0"/>
    <x v="0"/>
    <x v="5"/>
    <x v="1"/>
    <x v="1"/>
    <n v="40"/>
    <x v="0"/>
    <x v="0"/>
  </r>
  <r>
    <n v="66887"/>
    <x v="18"/>
    <x v="6"/>
    <x v="3"/>
    <x v="3"/>
    <x v="0"/>
    <x v="5"/>
    <x v="1"/>
    <x v="1"/>
    <n v="40"/>
    <x v="3"/>
    <x v="0"/>
  </r>
  <r>
    <n v="66888"/>
    <x v="19"/>
    <x v="8"/>
    <x v="2"/>
    <x v="2"/>
    <x v="1"/>
    <x v="5"/>
    <x v="1"/>
    <x v="1"/>
    <n v="41"/>
    <x v="4"/>
    <x v="0"/>
  </r>
  <r>
    <n v="66889"/>
    <x v="19"/>
    <x v="8"/>
    <x v="2"/>
    <x v="2"/>
    <x v="2"/>
    <x v="5"/>
    <x v="1"/>
    <x v="1"/>
    <n v="41"/>
    <x v="2"/>
    <x v="0"/>
  </r>
  <r>
    <n v="66890"/>
    <x v="19"/>
    <x v="8"/>
    <x v="4"/>
    <x v="4"/>
    <x v="1"/>
    <x v="5"/>
    <x v="1"/>
    <x v="1"/>
    <n v="41"/>
    <x v="5"/>
    <x v="0"/>
  </r>
  <r>
    <n v="66891"/>
    <x v="19"/>
    <x v="8"/>
    <x v="4"/>
    <x v="4"/>
    <x v="2"/>
    <x v="5"/>
    <x v="1"/>
    <x v="1"/>
    <n v="41"/>
    <x v="6"/>
    <x v="0"/>
  </r>
  <r>
    <n v="66892"/>
    <x v="19"/>
    <x v="8"/>
    <x v="5"/>
    <x v="5"/>
    <x v="2"/>
    <x v="5"/>
    <x v="1"/>
    <x v="1"/>
    <n v="41"/>
    <x v="7"/>
    <x v="0"/>
  </r>
  <r>
    <n v="66893"/>
    <x v="19"/>
    <x v="8"/>
    <x v="6"/>
    <x v="6"/>
    <x v="2"/>
    <x v="5"/>
    <x v="1"/>
    <x v="1"/>
    <n v="41"/>
    <x v="8"/>
    <x v="0"/>
  </r>
  <r>
    <n v="66894"/>
    <x v="19"/>
    <x v="8"/>
    <x v="1"/>
    <x v="1"/>
    <x v="1"/>
    <x v="5"/>
    <x v="1"/>
    <x v="1"/>
    <n v="41"/>
    <x v="1"/>
    <x v="0"/>
  </r>
  <r>
    <n v="66895"/>
    <x v="19"/>
    <x v="8"/>
    <x v="1"/>
    <x v="1"/>
    <x v="2"/>
    <x v="5"/>
    <x v="1"/>
    <x v="1"/>
    <n v="41"/>
    <x v="9"/>
    <x v="0"/>
  </r>
  <r>
    <n v="66896"/>
    <x v="19"/>
    <x v="6"/>
    <x v="0"/>
    <x v="0"/>
    <x v="3"/>
    <x v="5"/>
    <x v="1"/>
    <x v="1"/>
    <n v="41"/>
    <x v="10"/>
    <x v="0"/>
  </r>
  <r>
    <n v="66897"/>
    <x v="19"/>
    <x v="6"/>
    <x v="3"/>
    <x v="3"/>
    <x v="3"/>
    <x v="5"/>
    <x v="1"/>
    <x v="1"/>
    <n v="41"/>
    <x v="11"/>
    <x v="0"/>
  </r>
  <r>
    <n v="66898"/>
    <x v="19"/>
    <x v="8"/>
    <x v="7"/>
    <x v="7"/>
    <x v="1"/>
    <x v="5"/>
    <x v="1"/>
    <x v="1"/>
    <n v="41"/>
    <x v="12"/>
    <x v="0"/>
  </r>
  <r>
    <n v="66899"/>
    <x v="19"/>
    <x v="8"/>
    <x v="8"/>
    <x v="8"/>
    <x v="1"/>
    <x v="5"/>
    <x v="1"/>
    <x v="1"/>
    <n v="41"/>
    <x v="13"/>
    <x v="0"/>
  </r>
  <r>
    <n v="66900"/>
    <x v="19"/>
    <x v="8"/>
    <x v="9"/>
    <x v="9"/>
    <x v="2"/>
    <x v="5"/>
    <x v="1"/>
    <x v="1"/>
    <n v="41"/>
    <x v="14"/>
    <x v="0"/>
  </r>
  <r>
    <n v="66901"/>
    <x v="19"/>
    <x v="8"/>
    <x v="10"/>
    <x v="10"/>
    <x v="2"/>
    <x v="5"/>
    <x v="1"/>
    <x v="1"/>
    <n v="41"/>
    <x v="15"/>
    <x v="0"/>
  </r>
  <r>
    <n v="66902"/>
    <x v="19"/>
    <x v="8"/>
    <x v="11"/>
    <x v="11"/>
    <x v="2"/>
    <x v="5"/>
    <x v="1"/>
    <x v="1"/>
    <n v="41"/>
    <x v="16"/>
    <x v="0"/>
  </r>
  <r>
    <n v="66903"/>
    <x v="19"/>
    <x v="8"/>
    <x v="12"/>
    <x v="12"/>
    <x v="2"/>
    <x v="5"/>
    <x v="1"/>
    <x v="1"/>
    <n v="41"/>
    <x v="17"/>
    <x v="0"/>
  </r>
  <r>
    <n v="66904"/>
    <x v="19"/>
    <x v="6"/>
    <x v="0"/>
    <x v="0"/>
    <x v="0"/>
    <x v="5"/>
    <x v="1"/>
    <x v="1"/>
    <n v="41"/>
    <x v="0"/>
    <x v="0"/>
  </r>
  <r>
    <n v="66905"/>
    <x v="19"/>
    <x v="6"/>
    <x v="3"/>
    <x v="3"/>
    <x v="0"/>
    <x v="5"/>
    <x v="1"/>
    <x v="1"/>
    <n v="41"/>
    <x v="3"/>
    <x v="0"/>
  </r>
  <r>
    <n v="66906"/>
    <x v="20"/>
    <x v="8"/>
    <x v="2"/>
    <x v="2"/>
    <x v="1"/>
    <x v="5"/>
    <x v="1"/>
    <x v="1"/>
    <n v="42"/>
    <x v="4"/>
    <x v="0"/>
  </r>
  <r>
    <n v="66907"/>
    <x v="20"/>
    <x v="8"/>
    <x v="2"/>
    <x v="2"/>
    <x v="2"/>
    <x v="5"/>
    <x v="1"/>
    <x v="1"/>
    <n v="42"/>
    <x v="2"/>
    <x v="0"/>
  </r>
  <r>
    <n v="66908"/>
    <x v="20"/>
    <x v="8"/>
    <x v="4"/>
    <x v="4"/>
    <x v="1"/>
    <x v="5"/>
    <x v="1"/>
    <x v="1"/>
    <n v="42"/>
    <x v="5"/>
    <x v="0"/>
  </r>
  <r>
    <n v="66909"/>
    <x v="20"/>
    <x v="8"/>
    <x v="4"/>
    <x v="4"/>
    <x v="2"/>
    <x v="5"/>
    <x v="1"/>
    <x v="1"/>
    <n v="42"/>
    <x v="6"/>
    <x v="0"/>
  </r>
  <r>
    <n v="66910"/>
    <x v="20"/>
    <x v="8"/>
    <x v="5"/>
    <x v="5"/>
    <x v="2"/>
    <x v="5"/>
    <x v="1"/>
    <x v="1"/>
    <n v="42"/>
    <x v="7"/>
    <x v="0"/>
  </r>
  <r>
    <n v="66911"/>
    <x v="20"/>
    <x v="8"/>
    <x v="6"/>
    <x v="6"/>
    <x v="2"/>
    <x v="5"/>
    <x v="1"/>
    <x v="1"/>
    <n v="42"/>
    <x v="8"/>
    <x v="0"/>
  </r>
  <r>
    <n v="66912"/>
    <x v="20"/>
    <x v="8"/>
    <x v="1"/>
    <x v="1"/>
    <x v="1"/>
    <x v="5"/>
    <x v="1"/>
    <x v="1"/>
    <n v="42"/>
    <x v="1"/>
    <x v="0"/>
  </r>
  <r>
    <n v="66913"/>
    <x v="20"/>
    <x v="8"/>
    <x v="1"/>
    <x v="1"/>
    <x v="2"/>
    <x v="5"/>
    <x v="1"/>
    <x v="1"/>
    <n v="42"/>
    <x v="9"/>
    <x v="0"/>
  </r>
  <r>
    <n v="66914"/>
    <x v="20"/>
    <x v="6"/>
    <x v="0"/>
    <x v="0"/>
    <x v="3"/>
    <x v="5"/>
    <x v="1"/>
    <x v="1"/>
    <n v="42"/>
    <x v="10"/>
    <x v="0"/>
  </r>
  <r>
    <n v="66915"/>
    <x v="20"/>
    <x v="6"/>
    <x v="3"/>
    <x v="3"/>
    <x v="3"/>
    <x v="5"/>
    <x v="1"/>
    <x v="1"/>
    <n v="42"/>
    <x v="11"/>
    <x v="0"/>
  </r>
  <r>
    <n v="66916"/>
    <x v="20"/>
    <x v="8"/>
    <x v="7"/>
    <x v="7"/>
    <x v="1"/>
    <x v="5"/>
    <x v="1"/>
    <x v="1"/>
    <n v="42"/>
    <x v="12"/>
    <x v="0"/>
  </r>
  <r>
    <n v="66917"/>
    <x v="20"/>
    <x v="8"/>
    <x v="8"/>
    <x v="8"/>
    <x v="1"/>
    <x v="5"/>
    <x v="1"/>
    <x v="1"/>
    <n v="42"/>
    <x v="13"/>
    <x v="0"/>
  </r>
  <r>
    <n v="66918"/>
    <x v="20"/>
    <x v="8"/>
    <x v="9"/>
    <x v="9"/>
    <x v="2"/>
    <x v="5"/>
    <x v="1"/>
    <x v="1"/>
    <n v="42"/>
    <x v="14"/>
    <x v="0"/>
  </r>
  <r>
    <n v="66919"/>
    <x v="20"/>
    <x v="8"/>
    <x v="10"/>
    <x v="10"/>
    <x v="2"/>
    <x v="5"/>
    <x v="1"/>
    <x v="1"/>
    <n v="42"/>
    <x v="15"/>
    <x v="0"/>
  </r>
  <r>
    <n v="66920"/>
    <x v="20"/>
    <x v="8"/>
    <x v="11"/>
    <x v="11"/>
    <x v="2"/>
    <x v="5"/>
    <x v="1"/>
    <x v="1"/>
    <n v="42"/>
    <x v="16"/>
    <x v="0"/>
  </r>
  <r>
    <n v="66921"/>
    <x v="20"/>
    <x v="8"/>
    <x v="12"/>
    <x v="12"/>
    <x v="2"/>
    <x v="5"/>
    <x v="1"/>
    <x v="1"/>
    <n v="42"/>
    <x v="17"/>
    <x v="0"/>
  </r>
  <r>
    <n v="66922"/>
    <x v="20"/>
    <x v="6"/>
    <x v="0"/>
    <x v="0"/>
    <x v="0"/>
    <x v="5"/>
    <x v="1"/>
    <x v="1"/>
    <n v="42"/>
    <x v="0"/>
    <x v="0"/>
  </r>
  <r>
    <n v="66923"/>
    <x v="20"/>
    <x v="6"/>
    <x v="3"/>
    <x v="3"/>
    <x v="0"/>
    <x v="5"/>
    <x v="1"/>
    <x v="1"/>
    <n v="42"/>
    <x v="3"/>
    <x v="0"/>
  </r>
  <r>
    <n v="66924"/>
    <x v="21"/>
    <x v="8"/>
    <x v="2"/>
    <x v="2"/>
    <x v="1"/>
    <x v="6"/>
    <x v="1"/>
    <x v="1"/>
    <n v="43"/>
    <x v="4"/>
    <x v="0"/>
  </r>
  <r>
    <n v="66925"/>
    <x v="21"/>
    <x v="8"/>
    <x v="2"/>
    <x v="2"/>
    <x v="2"/>
    <x v="6"/>
    <x v="1"/>
    <x v="1"/>
    <n v="43"/>
    <x v="2"/>
    <x v="0"/>
  </r>
  <r>
    <n v="66926"/>
    <x v="21"/>
    <x v="8"/>
    <x v="4"/>
    <x v="4"/>
    <x v="1"/>
    <x v="6"/>
    <x v="1"/>
    <x v="1"/>
    <n v="43"/>
    <x v="5"/>
    <x v="0"/>
  </r>
  <r>
    <n v="66927"/>
    <x v="21"/>
    <x v="8"/>
    <x v="4"/>
    <x v="4"/>
    <x v="2"/>
    <x v="6"/>
    <x v="1"/>
    <x v="1"/>
    <n v="43"/>
    <x v="6"/>
    <x v="0"/>
  </r>
  <r>
    <n v="66928"/>
    <x v="21"/>
    <x v="8"/>
    <x v="5"/>
    <x v="5"/>
    <x v="2"/>
    <x v="6"/>
    <x v="1"/>
    <x v="1"/>
    <n v="43"/>
    <x v="7"/>
    <x v="0"/>
  </r>
  <r>
    <n v="66929"/>
    <x v="21"/>
    <x v="8"/>
    <x v="6"/>
    <x v="6"/>
    <x v="2"/>
    <x v="6"/>
    <x v="1"/>
    <x v="1"/>
    <n v="43"/>
    <x v="8"/>
    <x v="0"/>
  </r>
  <r>
    <n v="66930"/>
    <x v="21"/>
    <x v="8"/>
    <x v="1"/>
    <x v="1"/>
    <x v="1"/>
    <x v="6"/>
    <x v="1"/>
    <x v="1"/>
    <n v="43"/>
    <x v="1"/>
    <x v="0"/>
  </r>
  <r>
    <n v="66931"/>
    <x v="21"/>
    <x v="8"/>
    <x v="1"/>
    <x v="1"/>
    <x v="2"/>
    <x v="6"/>
    <x v="1"/>
    <x v="1"/>
    <n v="43"/>
    <x v="9"/>
    <x v="0"/>
  </r>
  <r>
    <n v="66932"/>
    <x v="21"/>
    <x v="6"/>
    <x v="0"/>
    <x v="0"/>
    <x v="3"/>
    <x v="6"/>
    <x v="1"/>
    <x v="1"/>
    <n v="43"/>
    <x v="10"/>
    <x v="0"/>
  </r>
  <r>
    <n v="66933"/>
    <x v="21"/>
    <x v="6"/>
    <x v="3"/>
    <x v="3"/>
    <x v="3"/>
    <x v="6"/>
    <x v="1"/>
    <x v="1"/>
    <n v="43"/>
    <x v="11"/>
    <x v="0"/>
  </r>
  <r>
    <n v="66934"/>
    <x v="21"/>
    <x v="8"/>
    <x v="7"/>
    <x v="7"/>
    <x v="1"/>
    <x v="6"/>
    <x v="1"/>
    <x v="1"/>
    <n v="43"/>
    <x v="12"/>
    <x v="0"/>
  </r>
  <r>
    <n v="66935"/>
    <x v="21"/>
    <x v="8"/>
    <x v="8"/>
    <x v="8"/>
    <x v="1"/>
    <x v="6"/>
    <x v="1"/>
    <x v="1"/>
    <n v="43"/>
    <x v="13"/>
    <x v="0"/>
  </r>
  <r>
    <n v="66936"/>
    <x v="21"/>
    <x v="8"/>
    <x v="9"/>
    <x v="9"/>
    <x v="2"/>
    <x v="6"/>
    <x v="1"/>
    <x v="1"/>
    <n v="43"/>
    <x v="14"/>
    <x v="0"/>
  </r>
  <r>
    <n v="66937"/>
    <x v="21"/>
    <x v="8"/>
    <x v="10"/>
    <x v="10"/>
    <x v="2"/>
    <x v="6"/>
    <x v="1"/>
    <x v="1"/>
    <n v="43"/>
    <x v="15"/>
    <x v="0"/>
  </r>
  <r>
    <n v="66938"/>
    <x v="21"/>
    <x v="8"/>
    <x v="11"/>
    <x v="11"/>
    <x v="2"/>
    <x v="6"/>
    <x v="1"/>
    <x v="1"/>
    <n v="43"/>
    <x v="16"/>
    <x v="0"/>
  </r>
  <r>
    <n v="66939"/>
    <x v="21"/>
    <x v="8"/>
    <x v="12"/>
    <x v="12"/>
    <x v="2"/>
    <x v="6"/>
    <x v="1"/>
    <x v="1"/>
    <n v="43"/>
    <x v="17"/>
    <x v="0"/>
  </r>
  <r>
    <n v="66940"/>
    <x v="21"/>
    <x v="6"/>
    <x v="0"/>
    <x v="0"/>
    <x v="0"/>
    <x v="6"/>
    <x v="1"/>
    <x v="1"/>
    <n v="43"/>
    <x v="0"/>
    <x v="0"/>
  </r>
  <r>
    <n v="66941"/>
    <x v="21"/>
    <x v="6"/>
    <x v="3"/>
    <x v="3"/>
    <x v="0"/>
    <x v="6"/>
    <x v="1"/>
    <x v="1"/>
    <n v="43"/>
    <x v="3"/>
    <x v="0"/>
  </r>
  <r>
    <n v="66942"/>
    <x v="22"/>
    <x v="8"/>
    <x v="2"/>
    <x v="2"/>
    <x v="1"/>
    <x v="6"/>
    <x v="1"/>
    <x v="1"/>
    <n v="44"/>
    <x v="4"/>
    <x v="0"/>
  </r>
  <r>
    <n v="66943"/>
    <x v="22"/>
    <x v="8"/>
    <x v="2"/>
    <x v="2"/>
    <x v="2"/>
    <x v="6"/>
    <x v="1"/>
    <x v="1"/>
    <n v="44"/>
    <x v="2"/>
    <x v="0"/>
  </r>
  <r>
    <n v="66944"/>
    <x v="22"/>
    <x v="8"/>
    <x v="4"/>
    <x v="4"/>
    <x v="1"/>
    <x v="6"/>
    <x v="1"/>
    <x v="1"/>
    <n v="44"/>
    <x v="5"/>
    <x v="0"/>
  </r>
  <r>
    <n v="66945"/>
    <x v="22"/>
    <x v="8"/>
    <x v="4"/>
    <x v="4"/>
    <x v="2"/>
    <x v="6"/>
    <x v="1"/>
    <x v="1"/>
    <n v="44"/>
    <x v="6"/>
    <x v="0"/>
  </r>
  <r>
    <n v="66946"/>
    <x v="22"/>
    <x v="8"/>
    <x v="5"/>
    <x v="5"/>
    <x v="2"/>
    <x v="6"/>
    <x v="1"/>
    <x v="1"/>
    <n v="44"/>
    <x v="7"/>
    <x v="0"/>
  </r>
  <r>
    <n v="66947"/>
    <x v="22"/>
    <x v="8"/>
    <x v="6"/>
    <x v="6"/>
    <x v="2"/>
    <x v="6"/>
    <x v="1"/>
    <x v="1"/>
    <n v="44"/>
    <x v="8"/>
    <x v="0"/>
  </r>
  <r>
    <n v="66948"/>
    <x v="22"/>
    <x v="8"/>
    <x v="1"/>
    <x v="1"/>
    <x v="1"/>
    <x v="6"/>
    <x v="1"/>
    <x v="1"/>
    <n v="44"/>
    <x v="1"/>
    <x v="0"/>
  </r>
  <r>
    <n v="66949"/>
    <x v="22"/>
    <x v="8"/>
    <x v="1"/>
    <x v="1"/>
    <x v="2"/>
    <x v="6"/>
    <x v="1"/>
    <x v="1"/>
    <n v="44"/>
    <x v="9"/>
    <x v="0"/>
  </r>
  <r>
    <n v="66950"/>
    <x v="22"/>
    <x v="6"/>
    <x v="0"/>
    <x v="0"/>
    <x v="3"/>
    <x v="6"/>
    <x v="1"/>
    <x v="1"/>
    <n v="44"/>
    <x v="10"/>
    <x v="0"/>
  </r>
  <r>
    <n v="66951"/>
    <x v="22"/>
    <x v="6"/>
    <x v="3"/>
    <x v="3"/>
    <x v="3"/>
    <x v="6"/>
    <x v="1"/>
    <x v="1"/>
    <n v="44"/>
    <x v="11"/>
    <x v="0"/>
  </r>
  <r>
    <n v="66952"/>
    <x v="22"/>
    <x v="8"/>
    <x v="7"/>
    <x v="7"/>
    <x v="1"/>
    <x v="6"/>
    <x v="1"/>
    <x v="1"/>
    <n v="44"/>
    <x v="12"/>
    <x v="0"/>
  </r>
  <r>
    <n v="66953"/>
    <x v="22"/>
    <x v="8"/>
    <x v="8"/>
    <x v="8"/>
    <x v="1"/>
    <x v="6"/>
    <x v="1"/>
    <x v="1"/>
    <n v="44"/>
    <x v="13"/>
    <x v="0"/>
  </r>
  <r>
    <n v="66954"/>
    <x v="22"/>
    <x v="8"/>
    <x v="9"/>
    <x v="9"/>
    <x v="2"/>
    <x v="6"/>
    <x v="1"/>
    <x v="1"/>
    <n v="44"/>
    <x v="14"/>
    <x v="0"/>
  </r>
  <r>
    <n v="66955"/>
    <x v="22"/>
    <x v="8"/>
    <x v="10"/>
    <x v="10"/>
    <x v="2"/>
    <x v="6"/>
    <x v="1"/>
    <x v="1"/>
    <n v="44"/>
    <x v="15"/>
    <x v="0"/>
  </r>
  <r>
    <n v="66956"/>
    <x v="22"/>
    <x v="8"/>
    <x v="11"/>
    <x v="11"/>
    <x v="2"/>
    <x v="6"/>
    <x v="1"/>
    <x v="1"/>
    <n v="44"/>
    <x v="16"/>
    <x v="0"/>
  </r>
  <r>
    <n v="66957"/>
    <x v="22"/>
    <x v="8"/>
    <x v="12"/>
    <x v="12"/>
    <x v="2"/>
    <x v="6"/>
    <x v="1"/>
    <x v="1"/>
    <n v="44"/>
    <x v="17"/>
    <x v="0"/>
  </r>
  <r>
    <n v="66958"/>
    <x v="22"/>
    <x v="6"/>
    <x v="0"/>
    <x v="0"/>
    <x v="0"/>
    <x v="6"/>
    <x v="1"/>
    <x v="1"/>
    <n v="44"/>
    <x v="0"/>
    <x v="0"/>
  </r>
  <r>
    <n v="66959"/>
    <x v="22"/>
    <x v="6"/>
    <x v="3"/>
    <x v="3"/>
    <x v="0"/>
    <x v="6"/>
    <x v="1"/>
    <x v="1"/>
    <n v="44"/>
    <x v="3"/>
    <x v="0"/>
  </r>
  <r>
    <n v="66960"/>
    <x v="23"/>
    <x v="8"/>
    <x v="2"/>
    <x v="2"/>
    <x v="1"/>
    <x v="7"/>
    <x v="1"/>
    <x v="1"/>
    <n v="45"/>
    <x v="4"/>
    <x v="0"/>
  </r>
  <r>
    <n v="66961"/>
    <x v="23"/>
    <x v="8"/>
    <x v="2"/>
    <x v="2"/>
    <x v="2"/>
    <x v="7"/>
    <x v="1"/>
    <x v="1"/>
    <n v="45"/>
    <x v="2"/>
    <x v="0"/>
  </r>
  <r>
    <n v="66962"/>
    <x v="23"/>
    <x v="8"/>
    <x v="4"/>
    <x v="4"/>
    <x v="1"/>
    <x v="7"/>
    <x v="1"/>
    <x v="1"/>
    <n v="45"/>
    <x v="5"/>
    <x v="0"/>
  </r>
  <r>
    <n v="66963"/>
    <x v="23"/>
    <x v="8"/>
    <x v="4"/>
    <x v="4"/>
    <x v="2"/>
    <x v="7"/>
    <x v="1"/>
    <x v="1"/>
    <n v="45"/>
    <x v="6"/>
    <x v="0"/>
  </r>
  <r>
    <n v="66964"/>
    <x v="23"/>
    <x v="8"/>
    <x v="5"/>
    <x v="5"/>
    <x v="2"/>
    <x v="7"/>
    <x v="1"/>
    <x v="1"/>
    <n v="45"/>
    <x v="7"/>
    <x v="0"/>
  </r>
  <r>
    <n v="66965"/>
    <x v="23"/>
    <x v="8"/>
    <x v="6"/>
    <x v="6"/>
    <x v="2"/>
    <x v="7"/>
    <x v="1"/>
    <x v="1"/>
    <n v="45"/>
    <x v="8"/>
    <x v="0"/>
  </r>
  <r>
    <n v="66966"/>
    <x v="23"/>
    <x v="8"/>
    <x v="1"/>
    <x v="1"/>
    <x v="1"/>
    <x v="7"/>
    <x v="1"/>
    <x v="1"/>
    <n v="45"/>
    <x v="1"/>
    <x v="0"/>
  </r>
  <r>
    <n v="66967"/>
    <x v="23"/>
    <x v="8"/>
    <x v="1"/>
    <x v="1"/>
    <x v="2"/>
    <x v="7"/>
    <x v="1"/>
    <x v="1"/>
    <n v="45"/>
    <x v="9"/>
    <x v="0"/>
  </r>
  <r>
    <n v="66968"/>
    <x v="23"/>
    <x v="6"/>
    <x v="0"/>
    <x v="0"/>
    <x v="3"/>
    <x v="7"/>
    <x v="1"/>
    <x v="1"/>
    <n v="45"/>
    <x v="10"/>
    <x v="0"/>
  </r>
  <r>
    <n v="66969"/>
    <x v="23"/>
    <x v="6"/>
    <x v="3"/>
    <x v="3"/>
    <x v="3"/>
    <x v="7"/>
    <x v="1"/>
    <x v="1"/>
    <n v="45"/>
    <x v="11"/>
    <x v="0"/>
  </r>
  <r>
    <n v="66970"/>
    <x v="23"/>
    <x v="8"/>
    <x v="7"/>
    <x v="7"/>
    <x v="1"/>
    <x v="7"/>
    <x v="1"/>
    <x v="1"/>
    <n v="45"/>
    <x v="12"/>
    <x v="0"/>
  </r>
  <r>
    <n v="66971"/>
    <x v="23"/>
    <x v="8"/>
    <x v="8"/>
    <x v="8"/>
    <x v="1"/>
    <x v="7"/>
    <x v="1"/>
    <x v="1"/>
    <n v="45"/>
    <x v="13"/>
    <x v="0"/>
  </r>
  <r>
    <n v="66972"/>
    <x v="23"/>
    <x v="8"/>
    <x v="9"/>
    <x v="9"/>
    <x v="2"/>
    <x v="7"/>
    <x v="1"/>
    <x v="1"/>
    <n v="45"/>
    <x v="14"/>
    <x v="0"/>
  </r>
  <r>
    <n v="66973"/>
    <x v="23"/>
    <x v="8"/>
    <x v="10"/>
    <x v="10"/>
    <x v="2"/>
    <x v="7"/>
    <x v="1"/>
    <x v="1"/>
    <n v="45"/>
    <x v="15"/>
    <x v="0"/>
  </r>
  <r>
    <n v="66974"/>
    <x v="23"/>
    <x v="8"/>
    <x v="11"/>
    <x v="11"/>
    <x v="2"/>
    <x v="7"/>
    <x v="1"/>
    <x v="1"/>
    <n v="45"/>
    <x v="16"/>
    <x v="0"/>
  </r>
  <r>
    <n v="66975"/>
    <x v="23"/>
    <x v="8"/>
    <x v="12"/>
    <x v="12"/>
    <x v="2"/>
    <x v="7"/>
    <x v="1"/>
    <x v="1"/>
    <n v="45"/>
    <x v="17"/>
    <x v="0"/>
  </r>
  <r>
    <n v="66976"/>
    <x v="23"/>
    <x v="6"/>
    <x v="0"/>
    <x v="0"/>
    <x v="0"/>
    <x v="7"/>
    <x v="1"/>
    <x v="1"/>
    <n v="45"/>
    <x v="0"/>
    <x v="0"/>
  </r>
  <r>
    <n v="66977"/>
    <x v="23"/>
    <x v="6"/>
    <x v="3"/>
    <x v="3"/>
    <x v="0"/>
    <x v="7"/>
    <x v="1"/>
    <x v="1"/>
    <n v="45"/>
    <x v="3"/>
    <x v="0"/>
  </r>
  <r>
    <n v="66978"/>
    <x v="24"/>
    <x v="8"/>
    <x v="2"/>
    <x v="2"/>
    <x v="1"/>
    <x v="7"/>
    <x v="1"/>
    <x v="1"/>
    <n v="46"/>
    <x v="4"/>
    <x v="0"/>
  </r>
  <r>
    <n v="66979"/>
    <x v="24"/>
    <x v="8"/>
    <x v="2"/>
    <x v="2"/>
    <x v="2"/>
    <x v="7"/>
    <x v="1"/>
    <x v="1"/>
    <n v="46"/>
    <x v="2"/>
    <x v="0"/>
  </r>
  <r>
    <n v="66980"/>
    <x v="24"/>
    <x v="8"/>
    <x v="4"/>
    <x v="4"/>
    <x v="1"/>
    <x v="7"/>
    <x v="1"/>
    <x v="1"/>
    <n v="46"/>
    <x v="5"/>
    <x v="0"/>
  </r>
  <r>
    <n v="66981"/>
    <x v="24"/>
    <x v="8"/>
    <x v="4"/>
    <x v="4"/>
    <x v="2"/>
    <x v="7"/>
    <x v="1"/>
    <x v="1"/>
    <n v="46"/>
    <x v="6"/>
    <x v="0"/>
  </r>
  <r>
    <n v="66982"/>
    <x v="24"/>
    <x v="8"/>
    <x v="5"/>
    <x v="5"/>
    <x v="2"/>
    <x v="7"/>
    <x v="1"/>
    <x v="1"/>
    <n v="46"/>
    <x v="7"/>
    <x v="0"/>
  </r>
  <r>
    <n v="66983"/>
    <x v="24"/>
    <x v="8"/>
    <x v="6"/>
    <x v="6"/>
    <x v="2"/>
    <x v="7"/>
    <x v="1"/>
    <x v="1"/>
    <n v="46"/>
    <x v="8"/>
    <x v="0"/>
  </r>
  <r>
    <n v="66984"/>
    <x v="24"/>
    <x v="8"/>
    <x v="1"/>
    <x v="1"/>
    <x v="1"/>
    <x v="7"/>
    <x v="1"/>
    <x v="1"/>
    <n v="46"/>
    <x v="1"/>
    <x v="0"/>
  </r>
  <r>
    <n v="66985"/>
    <x v="24"/>
    <x v="8"/>
    <x v="1"/>
    <x v="1"/>
    <x v="2"/>
    <x v="7"/>
    <x v="1"/>
    <x v="1"/>
    <n v="46"/>
    <x v="9"/>
    <x v="0"/>
  </r>
  <r>
    <n v="66986"/>
    <x v="24"/>
    <x v="6"/>
    <x v="0"/>
    <x v="0"/>
    <x v="3"/>
    <x v="7"/>
    <x v="1"/>
    <x v="1"/>
    <n v="46"/>
    <x v="10"/>
    <x v="0"/>
  </r>
  <r>
    <n v="66987"/>
    <x v="24"/>
    <x v="6"/>
    <x v="3"/>
    <x v="3"/>
    <x v="3"/>
    <x v="7"/>
    <x v="1"/>
    <x v="1"/>
    <n v="46"/>
    <x v="11"/>
    <x v="0"/>
  </r>
  <r>
    <n v="66988"/>
    <x v="24"/>
    <x v="8"/>
    <x v="7"/>
    <x v="7"/>
    <x v="1"/>
    <x v="7"/>
    <x v="1"/>
    <x v="1"/>
    <n v="46"/>
    <x v="12"/>
    <x v="0"/>
  </r>
  <r>
    <n v="66989"/>
    <x v="24"/>
    <x v="8"/>
    <x v="8"/>
    <x v="8"/>
    <x v="1"/>
    <x v="7"/>
    <x v="1"/>
    <x v="1"/>
    <n v="46"/>
    <x v="13"/>
    <x v="0"/>
  </r>
  <r>
    <n v="66990"/>
    <x v="24"/>
    <x v="8"/>
    <x v="9"/>
    <x v="9"/>
    <x v="2"/>
    <x v="7"/>
    <x v="1"/>
    <x v="1"/>
    <n v="46"/>
    <x v="14"/>
    <x v="0"/>
  </r>
  <r>
    <n v="66991"/>
    <x v="24"/>
    <x v="8"/>
    <x v="10"/>
    <x v="10"/>
    <x v="2"/>
    <x v="7"/>
    <x v="1"/>
    <x v="1"/>
    <n v="46"/>
    <x v="15"/>
    <x v="0"/>
  </r>
  <r>
    <n v="66992"/>
    <x v="24"/>
    <x v="8"/>
    <x v="11"/>
    <x v="11"/>
    <x v="2"/>
    <x v="7"/>
    <x v="1"/>
    <x v="1"/>
    <n v="46"/>
    <x v="16"/>
    <x v="0"/>
  </r>
  <r>
    <n v="66993"/>
    <x v="24"/>
    <x v="8"/>
    <x v="12"/>
    <x v="12"/>
    <x v="2"/>
    <x v="7"/>
    <x v="1"/>
    <x v="1"/>
    <n v="46"/>
    <x v="17"/>
    <x v="0"/>
  </r>
  <r>
    <n v="66994"/>
    <x v="24"/>
    <x v="6"/>
    <x v="0"/>
    <x v="0"/>
    <x v="0"/>
    <x v="7"/>
    <x v="1"/>
    <x v="1"/>
    <n v="46"/>
    <x v="0"/>
    <x v="0"/>
  </r>
  <r>
    <n v="66995"/>
    <x v="24"/>
    <x v="6"/>
    <x v="3"/>
    <x v="3"/>
    <x v="0"/>
    <x v="7"/>
    <x v="1"/>
    <x v="1"/>
    <n v="46"/>
    <x v="3"/>
    <x v="0"/>
  </r>
  <r>
    <n v="66996"/>
    <x v="25"/>
    <x v="8"/>
    <x v="2"/>
    <x v="2"/>
    <x v="1"/>
    <x v="7"/>
    <x v="1"/>
    <x v="1"/>
    <n v="47"/>
    <x v="4"/>
    <x v="0"/>
  </r>
  <r>
    <n v="66997"/>
    <x v="25"/>
    <x v="8"/>
    <x v="2"/>
    <x v="2"/>
    <x v="2"/>
    <x v="7"/>
    <x v="1"/>
    <x v="1"/>
    <n v="47"/>
    <x v="2"/>
    <x v="0"/>
  </r>
  <r>
    <n v="66998"/>
    <x v="25"/>
    <x v="8"/>
    <x v="4"/>
    <x v="4"/>
    <x v="1"/>
    <x v="7"/>
    <x v="1"/>
    <x v="1"/>
    <n v="47"/>
    <x v="5"/>
    <x v="0"/>
  </r>
  <r>
    <n v="66999"/>
    <x v="25"/>
    <x v="8"/>
    <x v="4"/>
    <x v="4"/>
    <x v="2"/>
    <x v="7"/>
    <x v="1"/>
    <x v="1"/>
    <n v="47"/>
    <x v="6"/>
    <x v="0"/>
  </r>
  <r>
    <n v="67000"/>
    <x v="25"/>
    <x v="8"/>
    <x v="5"/>
    <x v="5"/>
    <x v="2"/>
    <x v="7"/>
    <x v="1"/>
    <x v="1"/>
    <n v="47"/>
    <x v="7"/>
    <x v="0"/>
  </r>
  <r>
    <n v="67001"/>
    <x v="25"/>
    <x v="8"/>
    <x v="6"/>
    <x v="6"/>
    <x v="2"/>
    <x v="7"/>
    <x v="1"/>
    <x v="1"/>
    <n v="47"/>
    <x v="8"/>
    <x v="0"/>
  </r>
  <r>
    <n v="67002"/>
    <x v="25"/>
    <x v="8"/>
    <x v="1"/>
    <x v="1"/>
    <x v="1"/>
    <x v="7"/>
    <x v="1"/>
    <x v="1"/>
    <n v="47"/>
    <x v="1"/>
    <x v="0"/>
  </r>
  <r>
    <n v="67003"/>
    <x v="25"/>
    <x v="8"/>
    <x v="1"/>
    <x v="1"/>
    <x v="2"/>
    <x v="7"/>
    <x v="1"/>
    <x v="1"/>
    <n v="47"/>
    <x v="9"/>
    <x v="0"/>
  </r>
  <r>
    <n v="67004"/>
    <x v="25"/>
    <x v="6"/>
    <x v="0"/>
    <x v="0"/>
    <x v="3"/>
    <x v="7"/>
    <x v="1"/>
    <x v="1"/>
    <n v="47"/>
    <x v="10"/>
    <x v="0"/>
  </r>
  <r>
    <n v="67005"/>
    <x v="25"/>
    <x v="6"/>
    <x v="3"/>
    <x v="3"/>
    <x v="3"/>
    <x v="7"/>
    <x v="1"/>
    <x v="1"/>
    <n v="47"/>
    <x v="11"/>
    <x v="0"/>
  </r>
  <r>
    <n v="67006"/>
    <x v="25"/>
    <x v="8"/>
    <x v="7"/>
    <x v="7"/>
    <x v="1"/>
    <x v="7"/>
    <x v="1"/>
    <x v="1"/>
    <n v="47"/>
    <x v="12"/>
    <x v="0"/>
  </r>
  <r>
    <n v="67007"/>
    <x v="25"/>
    <x v="8"/>
    <x v="8"/>
    <x v="8"/>
    <x v="1"/>
    <x v="7"/>
    <x v="1"/>
    <x v="1"/>
    <n v="47"/>
    <x v="13"/>
    <x v="0"/>
  </r>
  <r>
    <n v="67008"/>
    <x v="25"/>
    <x v="8"/>
    <x v="9"/>
    <x v="9"/>
    <x v="2"/>
    <x v="7"/>
    <x v="1"/>
    <x v="1"/>
    <n v="47"/>
    <x v="14"/>
    <x v="0"/>
  </r>
  <r>
    <n v="67009"/>
    <x v="25"/>
    <x v="8"/>
    <x v="10"/>
    <x v="10"/>
    <x v="2"/>
    <x v="7"/>
    <x v="1"/>
    <x v="1"/>
    <n v="47"/>
    <x v="15"/>
    <x v="0"/>
  </r>
  <r>
    <n v="67010"/>
    <x v="25"/>
    <x v="8"/>
    <x v="11"/>
    <x v="11"/>
    <x v="2"/>
    <x v="7"/>
    <x v="1"/>
    <x v="1"/>
    <n v="47"/>
    <x v="16"/>
    <x v="0"/>
  </r>
  <r>
    <n v="67011"/>
    <x v="25"/>
    <x v="8"/>
    <x v="12"/>
    <x v="12"/>
    <x v="2"/>
    <x v="7"/>
    <x v="1"/>
    <x v="1"/>
    <n v="47"/>
    <x v="17"/>
    <x v="0"/>
  </r>
  <r>
    <n v="67012"/>
    <x v="25"/>
    <x v="6"/>
    <x v="0"/>
    <x v="0"/>
    <x v="0"/>
    <x v="7"/>
    <x v="1"/>
    <x v="1"/>
    <n v="47"/>
    <x v="0"/>
    <x v="0"/>
  </r>
  <r>
    <n v="67013"/>
    <x v="25"/>
    <x v="6"/>
    <x v="3"/>
    <x v="3"/>
    <x v="0"/>
    <x v="7"/>
    <x v="1"/>
    <x v="1"/>
    <n v="47"/>
    <x v="3"/>
    <x v="0"/>
  </r>
  <r>
    <n v="67014"/>
    <x v="26"/>
    <x v="8"/>
    <x v="2"/>
    <x v="2"/>
    <x v="1"/>
    <x v="7"/>
    <x v="1"/>
    <x v="1"/>
    <n v="48"/>
    <x v="4"/>
    <x v="0"/>
  </r>
  <r>
    <n v="67015"/>
    <x v="26"/>
    <x v="8"/>
    <x v="2"/>
    <x v="2"/>
    <x v="2"/>
    <x v="7"/>
    <x v="1"/>
    <x v="1"/>
    <n v="48"/>
    <x v="2"/>
    <x v="0"/>
  </r>
  <r>
    <n v="67016"/>
    <x v="26"/>
    <x v="8"/>
    <x v="4"/>
    <x v="4"/>
    <x v="1"/>
    <x v="7"/>
    <x v="1"/>
    <x v="1"/>
    <n v="48"/>
    <x v="5"/>
    <x v="0"/>
  </r>
  <r>
    <n v="67017"/>
    <x v="26"/>
    <x v="8"/>
    <x v="4"/>
    <x v="4"/>
    <x v="2"/>
    <x v="7"/>
    <x v="1"/>
    <x v="1"/>
    <n v="48"/>
    <x v="6"/>
    <x v="0"/>
  </r>
  <r>
    <n v="67018"/>
    <x v="26"/>
    <x v="8"/>
    <x v="5"/>
    <x v="5"/>
    <x v="2"/>
    <x v="7"/>
    <x v="1"/>
    <x v="1"/>
    <n v="48"/>
    <x v="7"/>
    <x v="0"/>
  </r>
  <r>
    <n v="67019"/>
    <x v="26"/>
    <x v="8"/>
    <x v="6"/>
    <x v="6"/>
    <x v="2"/>
    <x v="7"/>
    <x v="1"/>
    <x v="1"/>
    <n v="48"/>
    <x v="8"/>
    <x v="0"/>
  </r>
  <r>
    <n v="67020"/>
    <x v="26"/>
    <x v="8"/>
    <x v="1"/>
    <x v="1"/>
    <x v="1"/>
    <x v="7"/>
    <x v="1"/>
    <x v="1"/>
    <n v="48"/>
    <x v="1"/>
    <x v="0"/>
  </r>
  <r>
    <n v="67021"/>
    <x v="26"/>
    <x v="8"/>
    <x v="1"/>
    <x v="1"/>
    <x v="2"/>
    <x v="7"/>
    <x v="1"/>
    <x v="1"/>
    <n v="48"/>
    <x v="9"/>
    <x v="0"/>
  </r>
  <r>
    <n v="67022"/>
    <x v="26"/>
    <x v="6"/>
    <x v="0"/>
    <x v="0"/>
    <x v="3"/>
    <x v="7"/>
    <x v="1"/>
    <x v="1"/>
    <n v="48"/>
    <x v="10"/>
    <x v="0"/>
  </r>
  <r>
    <n v="67023"/>
    <x v="26"/>
    <x v="6"/>
    <x v="3"/>
    <x v="3"/>
    <x v="3"/>
    <x v="7"/>
    <x v="1"/>
    <x v="1"/>
    <n v="48"/>
    <x v="11"/>
    <x v="0"/>
  </r>
  <r>
    <n v="67024"/>
    <x v="26"/>
    <x v="8"/>
    <x v="7"/>
    <x v="7"/>
    <x v="1"/>
    <x v="7"/>
    <x v="1"/>
    <x v="1"/>
    <n v="48"/>
    <x v="12"/>
    <x v="0"/>
  </r>
  <r>
    <n v="67025"/>
    <x v="26"/>
    <x v="8"/>
    <x v="8"/>
    <x v="8"/>
    <x v="1"/>
    <x v="7"/>
    <x v="1"/>
    <x v="1"/>
    <n v="48"/>
    <x v="13"/>
    <x v="0"/>
  </r>
  <r>
    <n v="67026"/>
    <x v="26"/>
    <x v="8"/>
    <x v="9"/>
    <x v="9"/>
    <x v="2"/>
    <x v="7"/>
    <x v="1"/>
    <x v="1"/>
    <n v="48"/>
    <x v="14"/>
    <x v="0"/>
  </r>
  <r>
    <n v="67027"/>
    <x v="26"/>
    <x v="8"/>
    <x v="10"/>
    <x v="10"/>
    <x v="2"/>
    <x v="7"/>
    <x v="1"/>
    <x v="1"/>
    <n v="48"/>
    <x v="15"/>
    <x v="0"/>
  </r>
  <r>
    <n v="67028"/>
    <x v="26"/>
    <x v="8"/>
    <x v="11"/>
    <x v="11"/>
    <x v="2"/>
    <x v="7"/>
    <x v="1"/>
    <x v="1"/>
    <n v="48"/>
    <x v="16"/>
    <x v="0"/>
  </r>
  <r>
    <n v="67029"/>
    <x v="26"/>
    <x v="8"/>
    <x v="12"/>
    <x v="12"/>
    <x v="2"/>
    <x v="7"/>
    <x v="1"/>
    <x v="1"/>
    <n v="48"/>
    <x v="17"/>
    <x v="0"/>
  </r>
  <r>
    <n v="67030"/>
    <x v="26"/>
    <x v="6"/>
    <x v="0"/>
    <x v="0"/>
    <x v="0"/>
    <x v="7"/>
    <x v="1"/>
    <x v="1"/>
    <n v="48"/>
    <x v="0"/>
    <x v="0"/>
  </r>
  <r>
    <n v="67031"/>
    <x v="26"/>
    <x v="6"/>
    <x v="3"/>
    <x v="3"/>
    <x v="0"/>
    <x v="7"/>
    <x v="1"/>
    <x v="1"/>
    <n v="48"/>
    <x v="3"/>
    <x v="0"/>
  </r>
  <r>
    <n v="67032"/>
    <x v="27"/>
    <x v="8"/>
    <x v="2"/>
    <x v="2"/>
    <x v="1"/>
    <x v="7"/>
    <x v="1"/>
    <x v="1"/>
    <n v="49"/>
    <x v="4"/>
    <x v="0"/>
  </r>
  <r>
    <n v="67033"/>
    <x v="27"/>
    <x v="8"/>
    <x v="2"/>
    <x v="2"/>
    <x v="2"/>
    <x v="7"/>
    <x v="1"/>
    <x v="1"/>
    <n v="49"/>
    <x v="2"/>
    <x v="0"/>
  </r>
  <r>
    <n v="67034"/>
    <x v="27"/>
    <x v="8"/>
    <x v="4"/>
    <x v="4"/>
    <x v="1"/>
    <x v="7"/>
    <x v="1"/>
    <x v="1"/>
    <n v="49"/>
    <x v="5"/>
    <x v="0"/>
  </r>
  <r>
    <n v="67035"/>
    <x v="27"/>
    <x v="8"/>
    <x v="4"/>
    <x v="4"/>
    <x v="2"/>
    <x v="7"/>
    <x v="1"/>
    <x v="1"/>
    <n v="49"/>
    <x v="6"/>
    <x v="0"/>
  </r>
  <r>
    <n v="67036"/>
    <x v="27"/>
    <x v="8"/>
    <x v="5"/>
    <x v="5"/>
    <x v="2"/>
    <x v="7"/>
    <x v="1"/>
    <x v="1"/>
    <n v="49"/>
    <x v="7"/>
    <x v="0"/>
  </r>
  <r>
    <n v="67037"/>
    <x v="27"/>
    <x v="8"/>
    <x v="6"/>
    <x v="6"/>
    <x v="2"/>
    <x v="7"/>
    <x v="1"/>
    <x v="1"/>
    <n v="49"/>
    <x v="8"/>
    <x v="0"/>
  </r>
  <r>
    <n v="67038"/>
    <x v="27"/>
    <x v="8"/>
    <x v="1"/>
    <x v="1"/>
    <x v="1"/>
    <x v="7"/>
    <x v="1"/>
    <x v="1"/>
    <n v="49"/>
    <x v="1"/>
    <x v="0"/>
  </r>
  <r>
    <n v="67039"/>
    <x v="27"/>
    <x v="8"/>
    <x v="1"/>
    <x v="1"/>
    <x v="2"/>
    <x v="7"/>
    <x v="1"/>
    <x v="1"/>
    <n v="49"/>
    <x v="9"/>
    <x v="0"/>
  </r>
  <r>
    <n v="67040"/>
    <x v="27"/>
    <x v="6"/>
    <x v="0"/>
    <x v="0"/>
    <x v="3"/>
    <x v="7"/>
    <x v="1"/>
    <x v="1"/>
    <n v="49"/>
    <x v="10"/>
    <x v="0"/>
  </r>
  <r>
    <n v="67041"/>
    <x v="27"/>
    <x v="6"/>
    <x v="3"/>
    <x v="3"/>
    <x v="3"/>
    <x v="7"/>
    <x v="1"/>
    <x v="1"/>
    <n v="49"/>
    <x v="11"/>
    <x v="0"/>
  </r>
  <r>
    <n v="67042"/>
    <x v="27"/>
    <x v="8"/>
    <x v="7"/>
    <x v="7"/>
    <x v="1"/>
    <x v="7"/>
    <x v="1"/>
    <x v="1"/>
    <n v="49"/>
    <x v="12"/>
    <x v="0"/>
  </r>
  <r>
    <n v="67043"/>
    <x v="27"/>
    <x v="8"/>
    <x v="8"/>
    <x v="8"/>
    <x v="1"/>
    <x v="7"/>
    <x v="1"/>
    <x v="1"/>
    <n v="49"/>
    <x v="13"/>
    <x v="0"/>
  </r>
  <r>
    <n v="67044"/>
    <x v="27"/>
    <x v="8"/>
    <x v="9"/>
    <x v="9"/>
    <x v="2"/>
    <x v="7"/>
    <x v="1"/>
    <x v="1"/>
    <n v="49"/>
    <x v="14"/>
    <x v="0"/>
  </r>
  <r>
    <n v="67045"/>
    <x v="27"/>
    <x v="8"/>
    <x v="10"/>
    <x v="10"/>
    <x v="2"/>
    <x v="7"/>
    <x v="1"/>
    <x v="1"/>
    <n v="49"/>
    <x v="15"/>
    <x v="0"/>
  </r>
  <r>
    <n v="67046"/>
    <x v="27"/>
    <x v="8"/>
    <x v="11"/>
    <x v="11"/>
    <x v="2"/>
    <x v="7"/>
    <x v="1"/>
    <x v="1"/>
    <n v="49"/>
    <x v="16"/>
    <x v="0"/>
  </r>
  <r>
    <n v="67047"/>
    <x v="27"/>
    <x v="8"/>
    <x v="12"/>
    <x v="12"/>
    <x v="2"/>
    <x v="7"/>
    <x v="1"/>
    <x v="1"/>
    <n v="49"/>
    <x v="17"/>
    <x v="0"/>
  </r>
  <r>
    <n v="67048"/>
    <x v="27"/>
    <x v="6"/>
    <x v="0"/>
    <x v="0"/>
    <x v="0"/>
    <x v="7"/>
    <x v="1"/>
    <x v="1"/>
    <n v="49"/>
    <x v="0"/>
    <x v="0"/>
  </r>
  <r>
    <n v="67049"/>
    <x v="27"/>
    <x v="6"/>
    <x v="3"/>
    <x v="3"/>
    <x v="0"/>
    <x v="7"/>
    <x v="1"/>
    <x v="1"/>
    <n v="49"/>
    <x v="3"/>
    <x v="0"/>
  </r>
  <r>
    <n v="67050"/>
    <x v="28"/>
    <x v="8"/>
    <x v="2"/>
    <x v="2"/>
    <x v="1"/>
    <x v="7"/>
    <x v="1"/>
    <x v="1"/>
    <n v="50"/>
    <x v="4"/>
    <x v="0"/>
  </r>
  <r>
    <n v="67051"/>
    <x v="28"/>
    <x v="8"/>
    <x v="2"/>
    <x v="2"/>
    <x v="2"/>
    <x v="7"/>
    <x v="1"/>
    <x v="1"/>
    <n v="50"/>
    <x v="2"/>
    <x v="0"/>
  </r>
  <r>
    <n v="67052"/>
    <x v="28"/>
    <x v="8"/>
    <x v="4"/>
    <x v="4"/>
    <x v="1"/>
    <x v="7"/>
    <x v="1"/>
    <x v="1"/>
    <n v="50"/>
    <x v="5"/>
    <x v="0"/>
  </r>
  <r>
    <n v="67053"/>
    <x v="28"/>
    <x v="8"/>
    <x v="4"/>
    <x v="4"/>
    <x v="2"/>
    <x v="7"/>
    <x v="1"/>
    <x v="1"/>
    <n v="50"/>
    <x v="6"/>
    <x v="0"/>
  </r>
  <r>
    <n v="67054"/>
    <x v="28"/>
    <x v="8"/>
    <x v="5"/>
    <x v="5"/>
    <x v="2"/>
    <x v="7"/>
    <x v="1"/>
    <x v="1"/>
    <n v="50"/>
    <x v="7"/>
    <x v="0"/>
  </r>
  <r>
    <n v="67055"/>
    <x v="28"/>
    <x v="8"/>
    <x v="6"/>
    <x v="6"/>
    <x v="2"/>
    <x v="7"/>
    <x v="1"/>
    <x v="1"/>
    <n v="50"/>
    <x v="8"/>
    <x v="0"/>
  </r>
  <r>
    <n v="67056"/>
    <x v="28"/>
    <x v="8"/>
    <x v="1"/>
    <x v="1"/>
    <x v="1"/>
    <x v="7"/>
    <x v="1"/>
    <x v="1"/>
    <n v="50"/>
    <x v="1"/>
    <x v="0"/>
  </r>
  <r>
    <n v="67057"/>
    <x v="28"/>
    <x v="8"/>
    <x v="1"/>
    <x v="1"/>
    <x v="2"/>
    <x v="7"/>
    <x v="1"/>
    <x v="1"/>
    <n v="50"/>
    <x v="9"/>
    <x v="0"/>
  </r>
  <r>
    <n v="67058"/>
    <x v="28"/>
    <x v="6"/>
    <x v="0"/>
    <x v="0"/>
    <x v="3"/>
    <x v="7"/>
    <x v="1"/>
    <x v="1"/>
    <n v="50"/>
    <x v="10"/>
    <x v="0"/>
  </r>
  <r>
    <n v="67059"/>
    <x v="28"/>
    <x v="6"/>
    <x v="3"/>
    <x v="3"/>
    <x v="3"/>
    <x v="7"/>
    <x v="1"/>
    <x v="1"/>
    <n v="50"/>
    <x v="11"/>
    <x v="0"/>
  </r>
  <r>
    <n v="67060"/>
    <x v="28"/>
    <x v="8"/>
    <x v="7"/>
    <x v="7"/>
    <x v="1"/>
    <x v="7"/>
    <x v="1"/>
    <x v="1"/>
    <n v="50"/>
    <x v="12"/>
    <x v="0"/>
  </r>
  <r>
    <n v="67061"/>
    <x v="28"/>
    <x v="8"/>
    <x v="8"/>
    <x v="8"/>
    <x v="1"/>
    <x v="7"/>
    <x v="1"/>
    <x v="1"/>
    <n v="50"/>
    <x v="13"/>
    <x v="0"/>
  </r>
  <r>
    <n v="67062"/>
    <x v="28"/>
    <x v="8"/>
    <x v="9"/>
    <x v="9"/>
    <x v="2"/>
    <x v="7"/>
    <x v="1"/>
    <x v="1"/>
    <n v="50"/>
    <x v="14"/>
    <x v="0"/>
  </r>
  <r>
    <n v="67063"/>
    <x v="28"/>
    <x v="8"/>
    <x v="10"/>
    <x v="10"/>
    <x v="2"/>
    <x v="7"/>
    <x v="1"/>
    <x v="1"/>
    <n v="50"/>
    <x v="15"/>
    <x v="0"/>
  </r>
  <r>
    <n v="67064"/>
    <x v="28"/>
    <x v="8"/>
    <x v="11"/>
    <x v="11"/>
    <x v="2"/>
    <x v="7"/>
    <x v="1"/>
    <x v="1"/>
    <n v="50"/>
    <x v="16"/>
    <x v="0"/>
  </r>
  <r>
    <n v="67065"/>
    <x v="28"/>
    <x v="8"/>
    <x v="12"/>
    <x v="12"/>
    <x v="2"/>
    <x v="7"/>
    <x v="1"/>
    <x v="1"/>
    <n v="50"/>
    <x v="17"/>
    <x v="0"/>
  </r>
  <r>
    <n v="67066"/>
    <x v="28"/>
    <x v="6"/>
    <x v="0"/>
    <x v="0"/>
    <x v="0"/>
    <x v="7"/>
    <x v="1"/>
    <x v="1"/>
    <n v="50"/>
    <x v="0"/>
    <x v="0"/>
  </r>
  <r>
    <n v="67067"/>
    <x v="28"/>
    <x v="6"/>
    <x v="3"/>
    <x v="3"/>
    <x v="0"/>
    <x v="7"/>
    <x v="1"/>
    <x v="1"/>
    <n v="50"/>
    <x v="3"/>
    <x v="0"/>
  </r>
  <r>
    <n v="67068"/>
    <x v="29"/>
    <x v="8"/>
    <x v="2"/>
    <x v="2"/>
    <x v="1"/>
    <x v="8"/>
    <x v="5"/>
    <x v="1"/>
    <n v="51"/>
    <x v="4"/>
    <x v="0"/>
  </r>
  <r>
    <n v="67069"/>
    <x v="29"/>
    <x v="8"/>
    <x v="2"/>
    <x v="2"/>
    <x v="2"/>
    <x v="8"/>
    <x v="5"/>
    <x v="1"/>
    <n v="51"/>
    <x v="2"/>
    <x v="0"/>
  </r>
  <r>
    <n v="67070"/>
    <x v="29"/>
    <x v="8"/>
    <x v="4"/>
    <x v="4"/>
    <x v="1"/>
    <x v="8"/>
    <x v="5"/>
    <x v="1"/>
    <n v="51"/>
    <x v="5"/>
    <x v="0"/>
  </r>
  <r>
    <n v="67071"/>
    <x v="29"/>
    <x v="8"/>
    <x v="4"/>
    <x v="4"/>
    <x v="2"/>
    <x v="8"/>
    <x v="5"/>
    <x v="1"/>
    <n v="51"/>
    <x v="6"/>
    <x v="0"/>
  </r>
  <r>
    <n v="67072"/>
    <x v="29"/>
    <x v="8"/>
    <x v="5"/>
    <x v="5"/>
    <x v="2"/>
    <x v="8"/>
    <x v="5"/>
    <x v="1"/>
    <n v="51"/>
    <x v="7"/>
    <x v="0"/>
  </r>
  <r>
    <n v="67073"/>
    <x v="29"/>
    <x v="8"/>
    <x v="6"/>
    <x v="6"/>
    <x v="2"/>
    <x v="8"/>
    <x v="5"/>
    <x v="1"/>
    <n v="51"/>
    <x v="8"/>
    <x v="0"/>
  </r>
  <r>
    <n v="67074"/>
    <x v="29"/>
    <x v="8"/>
    <x v="1"/>
    <x v="1"/>
    <x v="1"/>
    <x v="8"/>
    <x v="5"/>
    <x v="1"/>
    <n v="51"/>
    <x v="1"/>
    <x v="0"/>
  </r>
  <r>
    <n v="67075"/>
    <x v="29"/>
    <x v="8"/>
    <x v="1"/>
    <x v="1"/>
    <x v="2"/>
    <x v="8"/>
    <x v="5"/>
    <x v="1"/>
    <n v="51"/>
    <x v="9"/>
    <x v="0"/>
  </r>
  <r>
    <n v="67076"/>
    <x v="29"/>
    <x v="6"/>
    <x v="0"/>
    <x v="0"/>
    <x v="3"/>
    <x v="8"/>
    <x v="5"/>
    <x v="1"/>
    <n v="51"/>
    <x v="10"/>
    <x v="0"/>
  </r>
  <r>
    <n v="67077"/>
    <x v="29"/>
    <x v="6"/>
    <x v="3"/>
    <x v="3"/>
    <x v="3"/>
    <x v="8"/>
    <x v="5"/>
    <x v="1"/>
    <n v="51"/>
    <x v="11"/>
    <x v="0"/>
  </r>
  <r>
    <n v="67078"/>
    <x v="29"/>
    <x v="8"/>
    <x v="7"/>
    <x v="7"/>
    <x v="1"/>
    <x v="8"/>
    <x v="5"/>
    <x v="1"/>
    <n v="51"/>
    <x v="12"/>
    <x v="0"/>
  </r>
  <r>
    <n v="67079"/>
    <x v="29"/>
    <x v="8"/>
    <x v="8"/>
    <x v="8"/>
    <x v="1"/>
    <x v="8"/>
    <x v="5"/>
    <x v="1"/>
    <n v="51"/>
    <x v="13"/>
    <x v="0"/>
  </r>
  <r>
    <n v="67080"/>
    <x v="29"/>
    <x v="8"/>
    <x v="9"/>
    <x v="9"/>
    <x v="2"/>
    <x v="8"/>
    <x v="5"/>
    <x v="1"/>
    <n v="51"/>
    <x v="14"/>
    <x v="0"/>
  </r>
  <r>
    <n v="67081"/>
    <x v="29"/>
    <x v="8"/>
    <x v="10"/>
    <x v="10"/>
    <x v="2"/>
    <x v="8"/>
    <x v="5"/>
    <x v="1"/>
    <n v="51"/>
    <x v="15"/>
    <x v="0"/>
  </r>
  <r>
    <n v="67082"/>
    <x v="29"/>
    <x v="8"/>
    <x v="11"/>
    <x v="11"/>
    <x v="2"/>
    <x v="8"/>
    <x v="5"/>
    <x v="1"/>
    <n v="51"/>
    <x v="16"/>
    <x v="0"/>
  </r>
  <r>
    <n v="67083"/>
    <x v="29"/>
    <x v="8"/>
    <x v="12"/>
    <x v="12"/>
    <x v="2"/>
    <x v="8"/>
    <x v="5"/>
    <x v="1"/>
    <n v="51"/>
    <x v="17"/>
    <x v="0"/>
  </r>
  <r>
    <n v="67084"/>
    <x v="29"/>
    <x v="6"/>
    <x v="0"/>
    <x v="0"/>
    <x v="0"/>
    <x v="8"/>
    <x v="5"/>
    <x v="1"/>
    <n v="51"/>
    <x v="0"/>
    <x v="0"/>
  </r>
  <r>
    <n v="67085"/>
    <x v="29"/>
    <x v="6"/>
    <x v="3"/>
    <x v="3"/>
    <x v="0"/>
    <x v="8"/>
    <x v="5"/>
    <x v="1"/>
    <n v="51"/>
    <x v="3"/>
    <x v="0"/>
  </r>
  <r>
    <n v="67086"/>
    <x v="30"/>
    <x v="8"/>
    <x v="2"/>
    <x v="2"/>
    <x v="1"/>
    <x v="8"/>
    <x v="5"/>
    <x v="1"/>
    <n v="52"/>
    <x v="4"/>
    <x v="0"/>
  </r>
  <r>
    <n v="67087"/>
    <x v="30"/>
    <x v="8"/>
    <x v="2"/>
    <x v="2"/>
    <x v="2"/>
    <x v="8"/>
    <x v="5"/>
    <x v="1"/>
    <n v="52"/>
    <x v="2"/>
    <x v="0"/>
  </r>
  <r>
    <n v="67088"/>
    <x v="30"/>
    <x v="8"/>
    <x v="4"/>
    <x v="4"/>
    <x v="1"/>
    <x v="8"/>
    <x v="5"/>
    <x v="1"/>
    <n v="52"/>
    <x v="5"/>
    <x v="0"/>
  </r>
  <r>
    <n v="67089"/>
    <x v="30"/>
    <x v="8"/>
    <x v="4"/>
    <x v="4"/>
    <x v="2"/>
    <x v="8"/>
    <x v="5"/>
    <x v="1"/>
    <n v="52"/>
    <x v="6"/>
    <x v="0"/>
  </r>
  <r>
    <n v="67090"/>
    <x v="30"/>
    <x v="8"/>
    <x v="5"/>
    <x v="5"/>
    <x v="2"/>
    <x v="8"/>
    <x v="5"/>
    <x v="1"/>
    <n v="52"/>
    <x v="7"/>
    <x v="0"/>
  </r>
  <r>
    <n v="67091"/>
    <x v="30"/>
    <x v="8"/>
    <x v="6"/>
    <x v="6"/>
    <x v="2"/>
    <x v="8"/>
    <x v="5"/>
    <x v="1"/>
    <n v="52"/>
    <x v="8"/>
    <x v="0"/>
  </r>
  <r>
    <n v="67092"/>
    <x v="30"/>
    <x v="8"/>
    <x v="1"/>
    <x v="1"/>
    <x v="1"/>
    <x v="8"/>
    <x v="5"/>
    <x v="1"/>
    <n v="52"/>
    <x v="1"/>
    <x v="0"/>
  </r>
  <r>
    <n v="67093"/>
    <x v="30"/>
    <x v="8"/>
    <x v="1"/>
    <x v="1"/>
    <x v="2"/>
    <x v="8"/>
    <x v="5"/>
    <x v="1"/>
    <n v="52"/>
    <x v="9"/>
    <x v="0"/>
  </r>
  <r>
    <n v="67094"/>
    <x v="30"/>
    <x v="6"/>
    <x v="0"/>
    <x v="0"/>
    <x v="3"/>
    <x v="8"/>
    <x v="5"/>
    <x v="1"/>
    <n v="52"/>
    <x v="10"/>
    <x v="0"/>
  </r>
  <r>
    <n v="67095"/>
    <x v="30"/>
    <x v="6"/>
    <x v="3"/>
    <x v="3"/>
    <x v="3"/>
    <x v="8"/>
    <x v="5"/>
    <x v="1"/>
    <n v="52"/>
    <x v="11"/>
    <x v="0"/>
  </r>
  <r>
    <n v="67096"/>
    <x v="30"/>
    <x v="8"/>
    <x v="7"/>
    <x v="7"/>
    <x v="1"/>
    <x v="8"/>
    <x v="5"/>
    <x v="1"/>
    <n v="52"/>
    <x v="12"/>
    <x v="0"/>
  </r>
  <r>
    <n v="67097"/>
    <x v="30"/>
    <x v="8"/>
    <x v="8"/>
    <x v="8"/>
    <x v="1"/>
    <x v="8"/>
    <x v="5"/>
    <x v="1"/>
    <n v="52"/>
    <x v="13"/>
    <x v="0"/>
  </r>
  <r>
    <n v="67098"/>
    <x v="30"/>
    <x v="8"/>
    <x v="9"/>
    <x v="9"/>
    <x v="2"/>
    <x v="8"/>
    <x v="5"/>
    <x v="1"/>
    <n v="52"/>
    <x v="14"/>
    <x v="0"/>
  </r>
  <r>
    <n v="67099"/>
    <x v="30"/>
    <x v="8"/>
    <x v="10"/>
    <x v="10"/>
    <x v="2"/>
    <x v="8"/>
    <x v="5"/>
    <x v="1"/>
    <n v="52"/>
    <x v="15"/>
    <x v="0"/>
  </r>
  <r>
    <n v="67100"/>
    <x v="30"/>
    <x v="8"/>
    <x v="11"/>
    <x v="11"/>
    <x v="2"/>
    <x v="8"/>
    <x v="5"/>
    <x v="1"/>
    <n v="52"/>
    <x v="16"/>
    <x v="0"/>
  </r>
  <r>
    <n v="67101"/>
    <x v="30"/>
    <x v="8"/>
    <x v="12"/>
    <x v="12"/>
    <x v="2"/>
    <x v="8"/>
    <x v="5"/>
    <x v="1"/>
    <n v="52"/>
    <x v="17"/>
    <x v="0"/>
  </r>
  <r>
    <n v="67102"/>
    <x v="30"/>
    <x v="6"/>
    <x v="0"/>
    <x v="0"/>
    <x v="0"/>
    <x v="8"/>
    <x v="5"/>
    <x v="1"/>
    <n v="52"/>
    <x v="0"/>
    <x v="0"/>
  </r>
  <r>
    <n v="67103"/>
    <x v="30"/>
    <x v="6"/>
    <x v="3"/>
    <x v="3"/>
    <x v="0"/>
    <x v="8"/>
    <x v="5"/>
    <x v="1"/>
    <n v="52"/>
    <x v="3"/>
    <x v="0"/>
  </r>
  <r>
    <n v="67104"/>
    <x v="31"/>
    <x v="8"/>
    <x v="2"/>
    <x v="2"/>
    <x v="1"/>
    <x v="8"/>
    <x v="5"/>
    <x v="1"/>
    <n v="53"/>
    <x v="4"/>
    <x v="0"/>
  </r>
  <r>
    <n v="67105"/>
    <x v="31"/>
    <x v="8"/>
    <x v="2"/>
    <x v="2"/>
    <x v="2"/>
    <x v="8"/>
    <x v="5"/>
    <x v="1"/>
    <n v="53"/>
    <x v="2"/>
    <x v="0"/>
  </r>
  <r>
    <n v="67106"/>
    <x v="31"/>
    <x v="8"/>
    <x v="4"/>
    <x v="4"/>
    <x v="1"/>
    <x v="8"/>
    <x v="5"/>
    <x v="1"/>
    <n v="53"/>
    <x v="5"/>
    <x v="0"/>
  </r>
  <r>
    <n v="67107"/>
    <x v="31"/>
    <x v="8"/>
    <x v="4"/>
    <x v="4"/>
    <x v="2"/>
    <x v="8"/>
    <x v="5"/>
    <x v="1"/>
    <n v="53"/>
    <x v="6"/>
    <x v="0"/>
  </r>
  <r>
    <n v="67108"/>
    <x v="31"/>
    <x v="8"/>
    <x v="5"/>
    <x v="5"/>
    <x v="2"/>
    <x v="8"/>
    <x v="5"/>
    <x v="1"/>
    <n v="53"/>
    <x v="7"/>
    <x v="0"/>
  </r>
  <r>
    <n v="67109"/>
    <x v="31"/>
    <x v="8"/>
    <x v="6"/>
    <x v="6"/>
    <x v="2"/>
    <x v="8"/>
    <x v="5"/>
    <x v="1"/>
    <n v="53"/>
    <x v="8"/>
    <x v="0"/>
  </r>
  <r>
    <n v="67110"/>
    <x v="31"/>
    <x v="8"/>
    <x v="1"/>
    <x v="1"/>
    <x v="1"/>
    <x v="8"/>
    <x v="5"/>
    <x v="1"/>
    <n v="53"/>
    <x v="1"/>
    <x v="0"/>
  </r>
  <r>
    <n v="67111"/>
    <x v="31"/>
    <x v="8"/>
    <x v="1"/>
    <x v="1"/>
    <x v="2"/>
    <x v="8"/>
    <x v="5"/>
    <x v="1"/>
    <n v="53"/>
    <x v="9"/>
    <x v="0"/>
  </r>
  <r>
    <n v="67112"/>
    <x v="31"/>
    <x v="6"/>
    <x v="0"/>
    <x v="0"/>
    <x v="3"/>
    <x v="8"/>
    <x v="5"/>
    <x v="1"/>
    <n v="53"/>
    <x v="10"/>
    <x v="0"/>
  </r>
  <r>
    <n v="67113"/>
    <x v="31"/>
    <x v="6"/>
    <x v="3"/>
    <x v="3"/>
    <x v="3"/>
    <x v="8"/>
    <x v="5"/>
    <x v="1"/>
    <n v="53"/>
    <x v="11"/>
    <x v="0"/>
  </r>
  <r>
    <n v="67114"/>
    <x v="31"/>
    <x v="8"/>
    <x v="7"/>
    <x v="7"/>
    <x v="1"/>
    <x v="8"/>
    <x v="5"/>
    <x v="1"/>
    <n v="53"/>
    <x v="12"/>
    <x v="0"/>
  </r>
  <r>
    <n v="67115"/>
    <x v="31"/>
    <x v="8"/>
    <x v="8"/>
    <x v="8"/>
    <x v="1"/>
    <x v="8"/>
    <x v="5"/>
    <x v="1"/>
    <n v="53"/>
    <x v="13"/>
    <x v="0"/>
  </r>
  <r>
    <n v="67116"/>
    <x v="31"/>
    <x v="8"/>
    <x v="9"/>
    <x v="9"/>
    <x v="2"/>
    <x v="8"/>
    <x v="5"/>
    <x v="1"/>
    <n v="53"/>
    <x v="14"/>
    <x v="0"/>
  </r>
  <r>
    <n v="67117"/>
    <x v="31"/>
    <x v="8"/>
    <x v="10"/>
    <x v="10"/>
    <x v="2"/>
    <x v="8"/>
    <x v="5"/>
    <x v="1"/>
    <n v="53"/>
    <x v="15"/>
    <x v="0"/>
  </r>
  <r>
    <n v="67118"/>
    <x v="31"/>
    <x v="8"/>
    <x v="11"/>
    <x v="11"/>
    <x v="2"/>
    <x v="8"/>
    <x v="5"/>
    <x v="1"/>
    <n v="53"/>
    <x v="16"/>
    <x v="0"/>
  </r>
  <r>
    <n v="67119"/>
    <x v="31"/>
    <x v="8"/>
    <x v="12"/>
    <x v="12"/>
    <x v="2"/>
    <x v="8"/>
    <x v="5"/>
    <x v="1"/>
    <n v="53"/>
    <x v="17"/>
    <x v="0"/>
  </r>
  <r>
    <n v="67120"/>
    <x v="31"/>
    <x v="6"/>
    <x v="0"/>
    <x v="0"/>
    <x v="0"/>
    <x v="8"/>
    <x v="5"/>
    <x v="1"/>
    <n v="53"/>
    <x v="0"/>
    <x v="0"/>
  </r>
  <r>
    <n v="67121"/>
    <x v="31"/>
    <x v="6"/>
    <x v="3"/>
    <x v="3"/>
    <x v="0"/>
    <x v="8"/>
    <x v="5"/>
    <x v="1"/>
    <n v="53"/>
    <x v="3"/>
    <x v="0"/>
  </r>
  <r>
    <n v="67122"/>
    <x v="32"/>
    <x v="8"/>
    <x v="2"/>
    <x v="2"/>
    <x v="1"/>
    <x v="8"/>
    <x v="5"/>
    <x v="1"/>
    <n v="54"/>
    <x v="4"/>
    <x v="0"/>
  </r>
  <r>
    <n v="67123"/>
    <x v="32"/>
    <x v="8"/>
    <x v="2"/>
    <x v="2"/>
    <x v="2"/>
    <x v="8"/>
    <x v="5"/>
    <x v="1"/>
    <n v="54"/>
    <x v="2"/>
    <x v="0"/>
  </r>
  <r>
    <n v="67124"/>
    <x v="32"/>
    <x v="8"/>
    <x v="4"/>
    <x v="4"/>
    <x v="1"/>
    <x v="8"/>
    <x v="5"/>
    <x v="1"/>
    <n v="54"/>
    <x v="5"/>
    <x v="0"/>
  </r>
  <r>
    <n v="67125"/>
    <x v="32"/>
    <x v="8"/>
    <x v="4"/>
    <x v="4"/>
    <x v="2"/>
    <x v="8"/>
    <x v="5"/>
    <x v="1"/>
    <n v="54"/>
    <x v="6"/>
    <x v="0"/>
  </r>
  <r>
    <n v="67126"/>
    <x v="32"/>
    <x v="8"/>
    <x v="5"/>
    <x v="5"/>
    <x v="2"/>
    <x v="8"/>
    <x v="5"/>
    <x v="1"/>
    <n v="54"/>
    <x v="7"/>
    <x v="0"/>
  </r>
  <r>
    <n v="67127"/>
    <x v="32"/>
    <x v="8"/>
    <x v="6"/>
    <x v="6"/>
    <x v="2"/>
    <x v="8"/>
    <x v="5"/>
    <x v="1"/>
    <n v="54"/>
    <x v="8"/>
    <x v="0"/>
  </r>
  <r>
    <n v="67128"/>
    <x v="32"/>
    <x v="8"/>
    <x v="1"/>
    <x v="1"/>
    <x v="1"/>
    <x v="8"/>
    <x v="5"/>
    <x v="1"/>
    <n v="54"/>
    <x v="1"/>
    <x v="0"/>
  </r>
  <r>
    <n v="67129"/>
    <x v="32"/>
    <x v="8"/>
    <x v="1"/>
    <x v="1"/>
    <x v="2"/>
    <x v="8"/>
    <x v="5"/>
    <x v="1"/>
    <n v="54"/>
    <x v="9"/>
    <x v="0"/>
  </r>
  <r>
    <n v="67130"/>
    <x v="32"/>
    <x v="6"/>
    <x v="0"/>
    <x v="0"/>
    <x v="3"/>
    <x v="8"/>
    <x v="5"/>
    <x v="1"/>
    <n v="54"/>
    <x v="10"/>
    <x v="0"/>
  </r>
  <r>
    <n v="67131"/>
    <x v="32"/>
    <x v="6"/>
    <x v="3"/>
    <x v="3"/>
    <x v="3"/>
    <x v="8"/>
    <x v="5"/>
    <x v="1"/>
    <n v="54"/>
    <x v="11"/>
    <x v="0"/>
  </r>
  <r>
    <n v="67132"/>
    <x v="32"/>
    <x v="8"/>
    <x v="7"/>
    <x v="7"/>
    <x v="1"/>
    <x v="8"/>
    <x v="5"/>
    <x v="1"/>
    <n v="54"/>
    <x v="12"/>
    <x v="0"/>
  </r>
  <r>
    <n v="67133"/>
    <x v="32"/>
    <x v="8"/>
    <x v="8"/>
    <x v="8"/>
    <x v="1"/>
    <x v="8"/>
    <x v="5"/>
    <x v="1"/>
    <n v="54"/>
    <x v="13"/>
    <x v="0"/>
  </r>
  <r>
    <n v="67134"/>
    <x v="32"/>
    <x v="8"/>
    <x v="9"/>
    <x v="9"/>
    <x v="2"/>
    <x v="8"/>
    <x v="5"/>
    <x v="1"/>
    <n v="54"/>
    <x v="14"/>
    <x v="0"/>
  </r>
  <r>
    <n v="67135"/>
    <x v="32"/>
    <x v="8"/>
    <x v="10"/>
    <x v="10"/>
    <x v="2"/>
    <x v="8"/>
    <x v="5"/>
    <x v="1"/>
    <n v="54"/>
    <x v="15"/>
    <x v="0"/>
  </r>
  <r>
    <n v="67136"/>
    <x v="32"/>
    <x v="8"/>
    <x v="11"/>
    <x v="11"/>
    <x v="2"/>
    <x v="8"/>
    <x v="5"/>
    <x v="1"/>
    <n v="54"/>
    <x v="16"/>
    <x v="0"/>
  </r>
  <r>
    <n v="67137"/>
    <x v="32"/>
    <x v="8"/>
    <x v="12"/>
    <x v="12"/>
    <x v="2"/>
    <x v="8"/>
    <x v="5"/>
    <x v="1"/>
    <n v="54"/>
    <x v="17"/>
    <x v="0"/>
  </r>
  <r>
    <n v="67138"/>
    <x v="32"/>
    <x v="6"/>
    <x v="0"/>
    <x v="0"/>
    <x v="0"/>
    <x v="8"/>
    <x v="5"/>
    <x v="1"/>
    <n v="54"/>
    <x v="0"/>
    <x v="0"/>
  </r>
  <r>
    <n v="67139"/>
    <x v="32"/>
    <x v="6"/>
    <x v="3"/>
    <x v="3"/>
    <x v="0"/>
    <x v="8"/>
    <x v="5"/>
    <x v="1"/>
    <n v="54"/>
    <x v="3"/>
    <x v="0"/>
  </r>
  <r>
    <n v="67140"/>
    <x v="33"/>
    <x v="8"/>
    <x v="2"/>
    <x v="2"/>
    <x v="1"/>
    <x v="8"/>
    <x v="5"/>
    <x v="1"/>
    <n v="55"/>
    <x v="4"/>
    <x v="0"/>
  </r>
  <r>
    <n v="67141"/>
    <x v="33"/>
    <x v="8"/>
    <x v="2"/>
    <x v="2"/>
    <x v="2"/>
    <x v="8"/>
    <x v="5"/>
    <x v="1"/>
    <n v="55"/>
    <x v="2"/>
    <x v="0"/>
  </r>
  <r>
    <n v="67142"/>
    <x v="33"/>
    <x v="8"/>
    <x v="4"/>
    <x v="4"/>
    <x v="1"/>
    <x v="8"/>
    <x v="5"/>
    <x v="1"/>
    <n v="55"/>
    <x v="5"/>
    <x v="0"/>
  </r>
  <r>
    <n v="67143"/>
    <x v="33"/>
    <x v="8"/>
    <x v="4"/>
    <x v="4"/>
    <x v="2"/>
    <x v="8"/>
    <x v="5"/>
    <x v="1"/>
    <n v="55"/>
    <x v="6"/>
    <x v="0"/>
  </r>
  <r>
    <n v="67144"/>
    <x v="33"/>
    <x v="8"/>
    <x v="5"/>
    <x v="5"/>
    <x v="2"/>
    <x v="8"/>
    <x v="5"/>
    <x v="1"/>
    <n v="55"/>
    <x v="7"/>
    <x v="0"/>
  </r>
  <r>
    <n v="67145"/>
    <x v="33"/>
    <x v="8"/>
    <x v="6"/>
    <x v="6"/>
    <x v="2"/>
    <x v="8"/>
    <x v="5"/>
    <x v="1"/>
    <n v="55"/>
    <x v="8"/>
    <x v="0"/>
  </r>
  <r>
    <n v="67146"/>
    <x v="33"/>
    <x v="8"/>
    <x v="1"/>
    <x v="1"/>
    <x v="1"/>
    <x v="8"/>
    <x v="5"/>
    <x v="1"/>
    <n v="55"/>
    <x v="1"/>
    <x v="0"/>
  </r>
  <r>
    <n v="67147"/>
    <x v="33"/>
    <x v="8"/>
    <x v="1"/>
    <x v="1"/>
    <x v="2"/>
    <x v="8"/>
    <x v="5"/>
    <x v="1"/>
    <n v="55"/>
    <x v="9"/>
    <x v="0"/>
  </r>
  <r>
    <n v="67148"/>
    <x v="33"/>
    <x v="6"/>
    <x v="0"/>
    <x v="0"/>
    <x v="3"/>
    <x v="8"/>
    <x v="5"/>
    <x v="1"/>
    <n v="55"/>
    <x v="10"/>
    <x v="0"/>
  </r>
  <r>
    <n v="67149"/>
    <x v="33"/>
    <x v="6"/>
    <x v="3"/>
    <x v="3"/>
    <x v="3"/>
    <x v="8"/>
    <x v="5"/>
    <x v="1"/>
    <n v="55"/>
    <x v="11"/>
    <x v="0"/>
  </r>
  <r>
    <n v="67150"/>
    <x v="33"/>
    <x v="8"/>
    <x v="7"/>
    <x v="7"/>
    <x v="1"/>
    <x v="8"/>
    <x v="5"/>
    <x v="1"/>
    <n v="55"/>
    <x v="12"/>
    <x v="0"/>
  </r>
  <r>
    <n v="67151"/>
    <x v="33"/>
    <x v="8"/>
    <x v="8"/>
    <x v="8"/>
    <x v="1"/>
    <x v="8"/>
    <x v="5"/>
    <x v="1"/>
    <n v="55"/>
    <x v="13"/>
    <x v="0"/>
  </r>
  <r>
    <n v="67152"/>
    <x v="33"/>
    <x v="8"/>
    <x v="9"/>
    <x v="9"/>
    <x v="2"/>
    <x v="8"/>
    <x v="5"/>
    <x v="1"/>
    <n v="55"/>
    <x v="14"/>
    <x v="0"/>
  </r>
  <r>
    <n v="67153"/>
    <x v="33"/>
    <x v="8"/>
    <x v="10"/>
    <x v="10"/>
    <x v="2"/>
    <x v="8"/>
    <x v="5"/>
    <x v="1"/>
    <n v="55"/>
    <x v="15"/>
    <x v="0"/>
  </r>
  <r>
    <n v="67154"/>
    <x v="33"/>
    <x v="8"/>
    <x v="11"/>
    <x v="11"/>
    <x v="2"/>
    <x v="8"/>
    <x v="5"/>
    <x v="1"/>
    <n v="55"/>
    <x v="16"/>
    <x v="0"/>
  </r>
  <r>
    <n v="67155"/>
    <x v="33"/>
    <x v="8"/>
    <x v="12"/>
    <x v="12"/>
    <x v="2"/>
    <x v="8"/>
    <x v="5"/>
    <x v="1"/>
    <n v="55"/>
    <x v="17"/>
    <x v="0"/>
  </r>
  <r>
    <n v="67156"/>
    <x v="33"/>
    <x v="6"/>
    <x v="0"/>
    <x v="0"/>
    <x v="0"/>
    <x v="8"/>
    <x v="5"/>
    <x v="1"/>
    <n v="55"/>
    <x v="0"/>
    <x v="0"/>
  </r>
  <r>
    <n v="67157"/>
    <x v="33"/>
    <x v="6"/>
    <x v="3"/>
    <x v="3"/>
    <x v="0"/>
    <x v="8"/>
    <x v="5"/>
    <x v="1"/>
    <n v="55"/>
    <x v="3"/>
    <x v="0"/>
  </r>
  <r>
    <n v="67158"/>
    <x v="34"/>
    <x v="8"/>
    <x v="2"/>
    <x v="2"/>
    <x v="1"/>
    <x v="9"/>
    <x v="5"/>
    <x v="1"/>
    <n v="56"/>
    <x v="4"/>
    <x v="0"/>
  </r>
  <r>
    <n v="67159"/>
    <x v="34"/>
    <x v="8"/>
    <x v="2"/>
    <x v="2"/>
    <x v="2"/>
    <x v="9"/>
    <x v="5"/>
    <x v="1"/>
    <n v="56"/>
    <x v="2"/>
    <x v="0"/>
  </r>
  <r>
    <n v="67160"/>
    <x v="34"/>
    <x v="8"/>
    <x v="4"/>
    <x v="4"/>
    <x v="1"/>
    <x v="9"/>
    <x v="5"/>
    <x v="1"/>
    <n v="56"/>
    <x v="5"/>
    <x v="0"/>
  </r>
  <r>
    <n v="67161"/>
    <x v="34"/>
    <x v="8"/>
    <x v="4"/>
    <x v="4"/>
    <x v="2"/>
    <x v="9"/>
    <x v="5"/>
    <x v="1"/>
    <n v="56"/>
    <x v="6"/>
    <x v="0"/>
  </r>
  <r>
    <n v="67162"/>
    <x v="34"/>
    <x v="8"/>
    <x v="5"/>
    <x v="5"/>
    <x v="2"/>
    <x v="9"/>
    <x v="5"/>
    <x v="1"/>
    <n v="56"/>
    <x v="7"/>
    <x v="0"/>
  </r>
  <r>
    <n v="67163"/>
    <x v="34"/>
    <x v="8"/>
    <x v="6"/>
    <x v="6"/>
    <x v="2"/>
    <x v="9"/>
    <x v="5"/>
    <x v="1"/>
    <n v="56"/>
    <x v="8"/>
    <x v="0"/>
  </r>
  <r>
    <n v="67164"/>
    <x v="34"/>
    <x v="8"/>
    <x v="1"/>
    <x v="1"/>
    <x v="1"/>
    <x v="9"/>
    <x v="5"/>
    <x v="1"/>
    <n v="56"/>
    <x v="1"/>
    <x v="0"/>
  </r>
  <r>
    <n v="67165"/>
    <x v="34"/>
    <x v="8"/>
    <x v="1"/>
    <x v="1"/>
    <x v="2"/>
    <x v="9"/>
    <x v="5"/>
    <x v="1"/>
    <n v="56"/>
    <x v="9"/>
    <x v="0"/>
  </r>
  <r>
    <n v="67166"/>
    <x v="34"/>
    <x v="6"/>
    <x v="0"/>
    <x v="0"/>
    <x v="3"/>
    <x v="9"/>
    <x v="5"/>
    <x v="1"/>
    <n v="56"/>
    <x v="10"/>
    <x v="0"/>
  </r>
  <r>
    <n v="67167"/>
    <x v="34"/>
    <x v="6"/>
    <x v="3"/>
    <x v="3"/>
    <x v="3"/>
    <x v="9"/>
    <x v="5"/>
    <x v="1"/>
    <n v="56"/>
    <x v="11"/>
    <x v="0"/>
  </r>
  <r>
    <n v="67168"/>
    <x v="34"/>
    <x v="8"/>
    <x v="7"/>
    <x v="7"/>
    <x v="1"/>
    <x v="9"/>
    <x v="5"/>
    <x v="1"/>
    <n v="56"/>
    <x v="12"/>
    <x v="0"/>
  </r>
  <r>
    <n v="67169"/>
    <x v="34"/>
    <x v="8"/>
    <x v="8"/>
    <x v="8"/>
    <x v="1"/>
    <x v="9"/>
    <x v="5"/>
    <x v="1"/>
    <n v="56"/>
    <x v="13"/>
    <x v="0"/>
  </r>
  <r>
    <n v="67170"/>
    <x v="34"/>
    <x v="8"/>
    <x v="9"/>
    <x v="9"/>
    <x v="2"/>
    <x v="9"/>
    <x v="5"/>
    <x v="1"/>
    <n v="56"/>
    <x v="14"/>
    <x v="0"/>
  </r>
  <r>
    <n v="67171"/>
    <x v="34"/>
    <x v="8"/>
    <x v="10"/>
    <x v="10"/>
    <x v="2"/>
    <x v="9"/>
    <x v="5"/>
    <x v="1"/>
    <n v="56"/>
    <x v="15"/>
    <x v="0"/>
  </r>
  <r>
    <n v="67172"/>
    <x v="34"/>
    <x v="8"/>
    <x v="11"/>
    <x v="11"/>
    <x v="2"/>
    <x v="9"/>
    <x v="5"/>
    <x v="1"/>
    <n v="56"/>
    <x v="16"/>
    <x v="0"/>
  </r>
  <r>
    <n v="67173"/>
    <x v="34"/>
    <x v="8"/>
    <x v="12"/>
    <x v="12"/>
    <x v="2"/>
    <x v="9"/>
    <x v="5"/>
    <x v="1"/>
    <n v="56"/>
    <x v="17"/>
    <x v="0"/>
  </r>
  <r>
    <n v="67174"/>
    <x v="34"/>
    <x v="6"/>
    <x v="0"/>
    <x v="0"/>
    <x v="0"/>
    <x v="9"/>
    <x v="5"/>
    <x v="1"/>
    <n v="56"/>
    <x v="0"/>
    <x v="0"/>
  </r>
  <r>
    <n v="67175"/>
    <x v="34"/>
    <x v="6"/>
    <x v="3"/>
    <x v="3"/>
    <x v="0"/>
    <x v="9"/>
    <x v="5"/>
    <x v="1"/>
    <n v="56"/>
    <x v="3"/>
    <x v="0"/>
  </r>
  <r>
    <n v="67176"/>
    <x v="35"/>
    <x v="8"/>
    <x v="2"/>
    <x v="2"/>
    <x v="1"/>
    <x v="6"/>
    <x v="5"/>
    <x v="1"/>
    <n v="57"/>
    <x v="4"/>
    <x v="0"/>
  </r>
  <r>
    <n v="67177"/>
    <x v="35"/>
    <x v="8"/>
    <x v="2"/>
    <x v="2"/>
    <x v="2"/>
    <x v="6"/>
    <x v="5"/>
    <x v="1"/>
    <n v="57"/>
    <x v="2"/>
    <x v="0"/>
  </r>
  <r>
    <n v="67178"/>
    <x v="35"/>
    <x v="8"/>
    <x v="4"/>
    <x v="4"/>
    <x v="1"/>
    <x v="6"/>
    <x v="5"/>
    <x v="1"/>
    <n v="57"/>
    <x v="5"/>
    <x v="0"/>
  </r>
  <r>
    <n v="67179"/>
    <x v="35"/>
    <x v="8"/>
    <x v="4"/>
    <x v="4"/>
    <x v="2"/>
    <x v="6"/>
    <x v="5"/>
    <x v="1"/>
    <n v="57"/>
    <x v="6"/>
    <x v="0"/>
  </r>
  <r>
    <n v="67180"/>
    <x v="35"/>
    <x v="8"/>
    <x v="5"/>
    <x v="5"/>
    <x v="2"/>
    <x v="6"/>
    <x v="5"/>
    <x v="1"/>
    <n v="57"/>
    <x v="7"/>
    <x v="0"/>
  </r>
  <r>
    <n v="67181"/>
    <x v="35"/>
    <x v="8"/>
    <x v="6"/>
    <x v="6"/>
    <x v="2"/>
    <x v="6"/>
    <x v="5"/>
    <x v="1"/>
    <n v="57"/>
    <x v="8"/>
    <x v="0"/>
  </r>
  <r>
    <n v="67182"/>
    <x v="35"/>
    <x v="8"/>
    <x v="1"/>
    <x v="1"/>
    <x v="1"/>
    <x v="6"/>
    <x v="5"/>
    <x v="1"/>
    <n v="57"/>
    <x v="1"/>
    <x v="0"/>
  </r>
  <r>
    <n v="67183"/>
    <x v="35"/>
    <x v="8"/>
    <x v="1"/>
    <x v="1"/>
    <x v="2"/>
    <x v="6"/>
    <x v="5"/>
    <x v="1"/>
    <n v="57"/>
    <x v="9"/>
    <x v="0"/>
  </r>
  <r>
    <n v="67184"/>
    <x v="35"/>
    <x v="6"/>
    <x v="0"/>
    <x v="0"/>
    <x v="3"/>
    <x v="6"/>
    <x v="5"/>
    <x v="1"/>
    <n v="57"/>
    <x v="10"/>
    <x v="0"/>
  </r>
  <r>
    <n v="67185"/>
    <x v="35"/>
    <x v="6"/>
    <x v="3"/>
    <x v="3"/>
    <x v="3"/>
    <x v="6"/>
    <x v="5"/>
    <x v="1"/>
    <n v="57"/>
    <x v="11"/>
    <x v="0"/>
  </r>
  <r>
    <n v="67186"/>
    <x v="35"/>
    <x v="8"/>
    <x v="7"/>
    <x v="7"/>
    <x v="1"/>
    <x v="6"/>
    <x v="5"/>
    <x v="1"/>
    <n v="57"/>
    <x v="12"/>
    <x v="0"/>
  </r>
  <r>
    <n v="67187"/>
    <x v="35"/>
    <x v="8"/>
    <x v="8"/>
    <x v="8"/>
    <x v="1"/>
    <x v="6"/>
    <x v="5"/>
    <x v="1"/>
    <n v="57"/>
    <x v="13"/>
    <x v="0"/>
  </r>
  <r>
    <n v="67188"/>
    <x v="35"/>
    <x v="8"/>
    <x v="9"/>
    <x v="9"/>
    <x v="2"/>
    <x v="6"/>
    <x v="5"/>
    <x v="1"/>
    <n v="57"/>
    <x v="14"/>
    <x v="0"/>
  </r>
  <r>
    <n v="67189"/>
    <x v="35"/>
    <x v="8"/>
    <x v="10"/>
    <x v="10"/>
    <x v="2"/>
    <x v="6"/>
    <x v="5"/>
    <x v="1"/>
    <n v="57"/>
    <x v="15"/>
    <x v="0"/>
  </r>
  <r>
    <n v="67190"/>
    <x v="35"/>
    <x v="8"/>
    <x v="11"/>
    <x v="11"/>
    <x v="2"/>
    <x v="6"/>
    <x v="5"/>
    <x v="1"/>
    <n v="57"/>
    <x v="16"/>
    <x v="0"/>
  </r>
  <r>
    <n v="67191"/>
    <x v="35"/>
    <x v="8"/>
    <x v="12"/>
    <x v="12"/>
    <x v="2"/>
    <x v="6"/>
    <x v="5"/>
    <x v="1"/>
    <n v="57"/>
    <x v="17"/>
    <x v="0"/>
  </r>
  <r>
    <n v="67192"/>
    <x v="35"/>
    <x v="6"/>
    <x v="0"/>
    <x v="0"/>
    <x v="0"/>
    <x v="6"/>
    <x v="5"/>
    <x v="1"/>
    <n v="57"/>
    <x v="0"/>
    <x v="0"/>
  </r>
  <r>
    <n v="67193"/>
    <x v="35"/>
    <x v="6"/>
    <x v="3"/>
    <x v="3"/>
    <x v="0"/>
    <x v="6"/>
    <x v="5"/>
    <x v="1"/>
    <n v="57"/>
    <x v="3"/>
    <x v="0"/>
  </r>
  <r>
    <n v="67194"/>
    <x v="36"/>
    <x v="8"/>
    <x v="2"/>
    <x v="2"/>
    <x v="1"/>
    <x v="6"/>
    <x v="5"/>
    <x v="1"/>
    <n v="58"/>
    <x v="4"/>
    <x v="0"/>
  </r>
  <r>
    <n v="67195"/>
    <x v="36"/>
    <x v="8"/>
    <x v="2"/>
    <x v="2"/>
    <x v="2"/>
    <x v="6"/>
    <x v="5"/>
    <x v="1"/>
    <n v="58"/>
    <x v="2"/>
    <x v="0"/>
  </r>
  <r>
    <n v="67196"/>
    <x v="36"/>
    <x v="8"/>
    <x v="4"/>
    <x v="4"/>
    <x v="1"/>
    <x v="6"/>
    <x v="5"/>
    <x v="1"/>
    <n v="58"/>
    <x v="5"/>
    <x v="0"/>
  </r>
  <r>
    <n v="67197"/>
    <x v="36"/>
    <x v="8"/>
    <x v="4"/>
    <x v="4"/>
    <x v="2"/>
    <x v="6"/>
    <x v="5"/>
    <x v="1"/>
    <n v="58"/>
    <x v="6"/>
    <x v="0"/>
  </r>
  <r>
    <n v="67198"/>
    <x v="36"/>
    <x v="8"/>
    <x v="5"/>
    <x v="5"/>
    <x v="2"/>
    <x v="6"/>
    <x v="5"/>
    <x v="1"/>
    <n v="58"/>
    <x v="7"/>
    <x v="0"/>
  </r>
  <r>
    <n v="67199"/>
    <x v="36"/>
    <x v="8"/>
    <x v="6"/>
    <x v="6"/>
    <x v="2"/>
    <x v="6"/>
    <x v="5"/>
    <x v="1"/>
    <n v="58"/>
    <x v="8"/>
    <x v="0"/>
  </r>
  <r>
    <n v="67200"/>
    <x v="36"/>
    <x v="8"/>
    <x v="1"/>
    <x v="1"/>
    <x v="1"/>
    <x v="6"/>
    <x v="5"/>
    <x v="1"/>
    <n v="58"/>
    <x v="1"/>
    <x v="0"/>
  </r>
  <r>
    <n v="67201"/>
    <x v="36"/>
    <x v="8"/>
    <x v="1"/>
    <x v="1"/>
    <x v="2"/>
    <x v="6"/>
    <x v="5"/>
    <x v="1"/>
    <n v="58"/>
    <x v="9"/>
    <x v="0"/>
  </r>
  <r>
    <n v="67202"/>
    <x v="36"/>
    <x v="6"/>
    <x v="0"/>
    <x v="0"/>
    <x v="3"/>
    <x v="6"/>
    <x v="5"/>
    <x v="1"/>
    <n v="58"/>
    <x v="10"/>
    <x v="0"/>
  </r>
  <r>
    <n v="67203"/>
    <x v="36"/>
    <x v="6"/>
    <x v="3"/>
    <x v="3"/>
    <x v="3"/>
    <x v="6"/>
    <x v="5"/>
    <x v="1"/>
    <n v="58"/>
    <x v="11"/>
    <x v="0"/>
  </r>
  <r>
    <n v="67204"/>
    <x v="36"/>
    <x v="8"/>
    <x v="7"/>
    <x v="7"/>
    <x v="1"/>
    <x v="6"/>
    <x v="5"/>
    <x v="1"/>
    <n v="58"/>
    <x v="12"/>
    <x v="0"/>
  </r>
  <r>
    <n v="67205"/>
    <x v="36"/>
    <x v="8"/>
    <x v="8"/>
    <x v="8"/>
    <x v="1"/>
    <x v="6"/>
    <x v="5"/>
    <x v="1"/>
    <n v="58"/>
    <x v="13"/>
    <x v="0"/>
  </r>
  <r>
    <n v="67206"/>
    <x v="36"/>
    <x v="8"/>
    <x v="9"/>
    <x v="9"/>
    <x v="2"/>
    <x v="6"/>
    <x v="5"/>
    <x v="1"/>
    <n v="58"/>
    <x v="14"/>
    <x v="0"/>
  </r>
  <r>
    <n v="67207"/>
    <x v="36"/>
    <x v="8"/>
    <x v="10"/>
    <x v="10"/>
    <x v="2"/>
    <x v="6"/>
    <x v="5"/>
    <x v="1"/>
    <n v="58"/>
    <x v="15"/>
    <x v="0"/>
  </r>
  <r>
    <n v="67208"/>
    <x v="36"/>
    <x v="8"/>
    <x v="11"/>
    <x v="11"/>
    <x v="2"/>
    <x v="6"/>
    <x v="5"/>
    <x v="1"/>
    <n v="58"/>
    <x v="16"/>
    <x v="0"/>
  </r>
  <r>
    <n v="67209"/>
    <x v="36"/>
    <x v="8"/>
    <x v="12"/>
    <x v="12"/>
    <x v="2"/>
    <x v="6"/>
    <x v="5"/>
    <x v="1"/>
    <n v="58"/>
    <x v="17"/>
    <x v="0"/>
  </r>
  <r>
    <n v="67210"/>
    <x v="36"/>
    <x v="6"/>
    <x v="0"/>
    <x v="0"/>
    <x v="0"/>
    <x v="6"/>
    <x v="5"/>
    <x v="1"/>
    <n v="58"/>
    <x v="0"/>
    <x v="0"/>
  </r>
  <r>
    <n v="67211"/>
    <x v="36"/>
    <x v="6"/>
    <x v="3"/>
    <x v="3"/>
    <x v="0"/>
    <x v="6"/>
    <x v="5"/>
    <x v="1"/>
    <n v="58"/>
    <x v="3"/>
    <x v="0"/>
  </r>
  <r>
    <n v="67212"/>
    <x v="37"/>
    <x v="8"/>
    <x v="2"/>
    <x v="2"/>
    <x v="1"/>
    <x v="6"/>
    <x v="5"/>
    <x v="1"/>
    <n v="59"/>
    <x v="4"/>
    <x v="0"/>
  </r>
  <r>
    <n v="67213"/>
    <x v="37"/>
    <x v="8"/>
    <x v="2"/>
    <x v="2"/>
    <x v="2"/>
    <x v="6"/>
    <x v="5"/>
    <x v="1"/>
    <n v="59"/>
    <x v="2"/>
    <x v="0"/>
  </r>
  <r>
    <n v="67214"/>
    <x v="37"/>
    <x v="8"/>
    <x v="4"/>
    <x v="4"/>
    <x v="1"/>
    <x v="6"/>
    <x v="5"/>
    <x v="1"/>
    <n v="59"/>
    <x v="5"/>
    <x v="0"/>
  </r>
  <r>
    <n v="67215"/>
    <x v="37"/>
    <x v="8"/>
    <x v="4"/>
    <x v="4"/>
    <x v="2"/>
    <x v="6"/>
    <x v="5"/>
    <x v="1"/>
    <n v="59"/>
    <x v="6"/>
    <x v="0"/>
  </r>
  <r>
    <n v="67216"/>
    <x v="37"/>
    <x v="8"/>
    <x v="5"/>
    <x v="5"/>
    <x v="2"/>
    <x v="6"/>
    <x v="5"/>
    <x v="1"/>
    <n v="59"/>
    <x v="7"/>
    <x v="0"/>
  </r>
  <r>
    <n v="67217"/>
    <x v="37"/>
    <x v="8"/>
    <x v="6"/>
    <x v="6"/>
    <x v="2"/>
    <x v="6"/>
    <x v="5"/>
    <x v="1"/>
    <n v="59"/>
    <x v="8"/>
    <x v="0"/>
  </r>
  <r>
    <n v="67218"/>
    <x v="37"/>
    <x v="8"/>
    <x v="1"/>
    <x v="1"/>
    <x v="1"/>
    <x v="6"/>
    <x v="5"/>
    <x v="1"/>
    <n v="59"/>
    <x v="1"/>
    <x v="0"/>
  </r>
  <r>
    <n v="67219"/>
    <x v="37"/>
    <x v="8"/>
    <x v="1"/>
    <x v="1"/>
    <x v="2"/>
    <x v="6"/>
    <x v="5"/>
    <x v="1"/>
    <n v="59"/>
    <x v="9"/>
    <x v="0"/>
  </r>
  <r>
    <n v="67220"/>
    <x v="37"/>
    <x v="6"/>
    <x v="0"/>
    <x v="0"/>
    <x v="3"/>
    <x v="6"/>
    <x v="5"/>
    <x v="1"/>
    <n v="59"/>
    <x v="10"/>
    <x v="0"/>
  </r>
  <r>
    <n v="67221"/>
    <x v="37"/>
    <x v="6"/>
    <x v="3"/>
    <x v="3"/>
    <x v="3"/>
    <x v="6"/>
    <x v="5"/>
    <x v="1"/>
    <n v="59"/>
    <x v="11"/>
    <x v="0"/>
  </r>
  <r>
    <n v="67222"/>
    <x v="37"/>
    <x v="8"/>
    <x v="7"/>
    <x v="7"/>
    <x v="1"/>
    <x v="6"/>
    <x v="5"/>
    <x v="1"/>
    <n v="59"/>
    <x v="12"/>
    <x v="0"/>
  </r>
  <r>
    <n v="67223"/>
    <x v="37"/>
    <x v="8"/>
    <x v="8"/>
    <x v="8"/>
    <x v="1"/>
    <x v="6"/>
    <x v="5"/>
    <x v="1"/>
    <n v="59"/>
    <x v="13"/>
    <x v="0"/>
  </r>
  <r>
    <n v="67224"/>
    <x v="37"/>
    <x v="8"/>
    <x v="9"/>
    <x v="9"/>
    <x v="2"/>
    <x v="6"/>
    <x v="5"/>
    <x v="1"/>
    <n v="59"/>
    <x v="14"/>
    <x v="0"/>
  </r>
  <r>
    <n v="67225"/>
    <x v="37"/>
    <x v="8"/>
    <x v="10"/>
    <x v="10"/>
    <x v="2"/>
    <x v="6"/>
    <x v="5"/>
    <x v="1"/>
    <n v="59"/>
    <x v="15"/>
    <x v="0"/>
  </r>
  <r>
    <n v="67226"/>
    <x v="37"/>
    <x v="8"/>
    <x v="11"/>
    <x v="11"/>
    <x v="2"/>
    <x v="6"/>
    <x v="5"/>
    <x v="1"/>
    <n v="59"/>
    <x v="16"/>
    <x v="0"/>
  </r>
  <r>
    <n v="67227"/>
    <x v="37"/>
    <x v="8"/>
    <x v="12"/>
    <x v="12"/>
    <x v="2"/>
    <x v="6"/>
    <x v="5"/>
    <x v="1"/>
    <n v="59"/>
    <x v="17"/>
    <x v="0"/>
  </r>
  <r>
    <n v="67228"/>
    <x v="37"/>
    <x v="6"/>
    <x v="0"/>
    <x v="0"/>
    <x v="0"/>
    <x v="6"/>
    <x v="5"/>
    <x v="1"/>
    <n v="59"/>
    <x v="0"/>
    <x v="0"/>
  </r>
  <r>
    <n v="67229"/>
    <x v="37"/>
    <x v="6"/>
    <x v="3"/>
    <x v="3"/>
    <x v="0"/>
    <x v="6"/>
    <x v="5"/>
    <x v="1"/>
    <n v="59"/>
    <x v="3"/>
    <x v="0"/>
  </r>
  <r>
    <n v="67230"/>
    <x v="38"/>
    <x v="8"/>
    <x v="2"/>
    <x v="2"/>
    <x v="1"/>
    <x v="6"/>
    <x v="5"/>
    <x v="1"/>
    <n v="60"/>
    <x v="4"/>
    <x v="0"/>
  </r>
  <r>
    <n v="67231"/>
    <x v="38"/>
    <x v="8"/>
    <x v="2"/>
    <x v="2"/>
    <x v="2"/>
    <x v="6"/>
    <x v="5"/>
    <x v="1"/>
    <n v="60"/>
    <x v="2"/>
    <x v="0"/>
  </r>
  <r>
    <n v="67232"/>
    <x v="38"/>
    <x v="8"/>
    <x v="4"/>
    <x v="4"/>
    <x v="1"/>
    <x v="6"/>
    <x v="5"/>
    <x v="1"/>
    <n v="60"/>
    <x v="5"/>
    <x v="0"/>
  </r>
  <r>
    <n v="67233"/>
    <x v="38"/>
    <x v="8"/>
    <x v="4"/>
    <x v="4"/>
    <x v="2"/>
    <x v="6"/>
    <x v="5"/>
    <x v="1"/>
    <n v="60"/>
    <x v="6"/>
    <x v="0"/>
  </r>
  <r>
    <n v="67234"/>
    <x v="38"/>
    <x v="8"/>
    <x v="5"/>
    <x v="5"/>
    <x v="2"/>
    <x v="6"/>
    <x v="5"/>
    <x v="1"/>
    <n v="60"/>
    <x v="7"/>
    <x v="0"/>
  </r>
  <r>
    <n v="67235"/>
    <x v="38"/>
    <x v="8"/>
    <x v="6"/>
    <x v="6"/>
    <x v="2"/>
    <x v="6"/>
    <x v="5"/>
    <x v="1"/>
    <n v="60"/>
    <x v="8"/>
    <x v="0"/>
  </r>
  <r>
    <n v="67236"/>
    <x v="38"/>
    <x v="8"/>
    <x v="1"/>
    <x v="1"/>
    <x v="1"/>
    <x v="6"/>
    <x v="5"/>
    <x v="1"/>
    <n v="60"/>
    <x v="1"/>
    <x v="0"/>
  </r>
  <r>
    <n v="67237"/>
    <x v="38"/>
    <x v="8"/>
    <x v="1"/>
    <x v="1"/>
    <x v="2"/>
    <x v="6"/>
    <x v="5"/>
    <x v="1"/>
    <n v="60"/>
    <x v="9"/>
    <x v="0"/>
  </r>
  <r>
    <n v="67238"/>
    <x v="38"/>
    <x v="6"/>
    <x v="0"/>
    <x v="0"/>
    <x v="3"/>
    <x v="6"/>
    <x v="5"/>
    <x v="1"/>
    <n v="60"/>
    <x v="10"/>
    <x v="0"/>
  </r>
  <r>
    <n v="67239"/>
    <x v="38"/>
    <x v="6"/>
    <x v="3"/>
    <x v="3"/>
    <x v="3"/>
    <x v="6"/>
    <x v="5"/>
    <x v="1"/>
    <n v="60"/>
    <x v="11"/>
    <x v="0"/>
  </r>
  <r>
    <n v="67240"/>
    <x v="38"/>
    <x v="8"/>
    <x v="7"/>
    <x v="7"/>
    <x v="1"/>
    <x v="6"/>
    <x v="5"/>
    <x v="1"/>
    <n v="60"/>
    <x v="12"/>
    <x v="0"/>
  </r>
  <r>
    <n v="67241"/>
    <x v="38"/>
    <x v="8"/>
    <x v="8"/>
    <x v="8"/>
    <x v="1"/>
    <x v="6"/>
    <x v="5"/>
    <x v="1"/>
    <n v="60"/>
    <x v="13"/>
    <x v="0"/>
  </r>
  <r>
    <n v="67242"/>
    <x v="38"/>
    <x v="8"/>
    <x v="9"/>
    <x v="9"/>
    <x v="2"/>
    <x v="6"/>
    <x v="5"/>
    <x v="1"/>
    <n v="60"/>
    <x v="14"/>
    <x v="0"/>
  </r>
  <r>
    <n v="67243"/>
    <x v="38"/>
    <x v="8"/>
    <x v="10"/>
    <x v="10"/>
    <x v="2"/>
    <x v="6"/>
    <x v="5"/>
    <x v="1"/>
    <n v="60"/>
    <x v="15"/>
    <x v="0"/>
  </r>
  <r>
    <n v="67244"/>
    <x v="38"/>
    <x v="8"/>
    <x v="11"/>
    <x v="11"/>
    <x v="2"/>
    <x v="6"/>
    <x v="5"/>
    <x v="1"/>
    <n v="60"/>
    <x v="16"/>
    <x v="0"/>
  </r>
  <r>
    <n v="67245"/>
    <x v="38"/>
    <x v="8"/>
    <x v="12"/>
    <x v="12"/>
    <x v="2"/>
    <x v="6"/>
    <x v="5"/>
    <x v="1"/>
    <n v="60"/>
    <x v="17"/>
    <x v="0"/>
  </r>
  <r>
    <n v="67246"/>
    <x v="38"/>
    <x v="6"/>
    <x v="0"/>
    <x v="0"/>
    <x v="0"/>
    <x v="6"/>
    <x v="5"/>
    <x v="1"/>
    <n v="60"/>
    <x v="0"/>
    <x v="0"/>
  </r>
  <r>
    <n v="67247"/>
    <x v="38"/>
    <x v="6"/>
    <x v="3"/>
    <x v="3"/>
    <x v="0"/>
    <x v="6"/>
    <x v="5"/>
    <x v="1"/>
    <n v="60"/>
    <x v="3"/>
    <x v="0"/>
  </r>
  <r>
    <n v="67248"/>
    <x v="39"/>
    <x v="8"/>
    <x v="2"/>
    <x v="2"/>
    <x v="1"/>
    <x v="6"/>
    <x v="5"/>
    <x v="1"/>
    <n v="61"/>
    <x v="4"/>
    <x v="0"/>
  </r>
  <r>
    <n v="67249"/>
    <x v="39"/>
    <x v="8"/>
    <x v="2"/>
    <x v="2"/>
    <x v="2"/>
    <x v="6"/>
    <x v="5"/>
    <x v="1"/>
    <n v="61"/>
    <x v="2"/>
    <x v="0"/>
  </r>
  <r>
    <n v="67250"/>
    <x v="39"/>
    <x v="8"/>
    <x v="4"/>
    <x v="4"/>
    <x v="1"/>
    <x v="6"/>
    <x v="5"/>
    <x v="1"/>
    <n v="61"/>
    <x v="5"/>
    <x v="0"/>
  </r>
  <r>
    <n v="67251"/>
    <x v="39"/>
    <x v="8"/>
    <x v="4"/>
    <x v="4"/>
    <x v="2"/>
    <x v="6"/>
    <x v="5"/>
    <x v="1"/>
    <n v="61"/>
    <x v="6"/>
    <x v="0"/>
  </r>
  <r>
    <n v="67252"/>
    <x v="39"/>
    <x v="8"/>
    <x v="5"/>
    <x v="5"/>
    <x v="2"/>
    <x v="6"/>
    <x v="5"/>
    <x v="1"/>
    <n v="61"/>
    <x v="7"/>
    <x v="0"/>
  </r>
  <r>
    <n v="67253"/>
    <x v="39"/>
    <x v="8"/>
    <x v="6"/>
    <x v="6"/>
    <x v="2"/>
    <x v="6"/>
    <x v="5"/>
    <x v="1"/>
    <n v="61"/>
    <x v="8"/>
    <x v="0"/>
  </r>
  <r>
    <n v="67254"/>
    <x v="39"/>
    <x v="8"/>
    <x v="1"/>
    <x v="1"/>
    <x v="1"/>
    <x v="6"/>
    <x v="5"/>
    <x v="1"/>
    <n v="61"/>
    <x v="1"/>
    <x v="0"/>
  </r>
  <r>
    <n v="67255"/>
    <x v="39"/>
    <x v="8"/>
    <x v="1"/>
    <x v="1"/>
    <x v="2"/>
    <x v="6"/>
    <x v="5"/>
    <x v="1"/>
    <n v="61"/>
    <x v="9"/>
    <x v="0"/>
  </r>
  <r>
    <n v="67256"/>
    <x v="39"/>
    <x v="6"/>
    <x v="0"/>
    <x v="0"/>
    <x v="3"/>
    <x v="6"/>
    <x v="5"/>
    <x v="1"/>
    <n v="61"/>
    <x v="10"/>
    <x v="0"/>
  </r>
  <r>
    <n v="67257"/>
    <x v="39"/>
    <x v="6"/>
    <x v="3"/>
    <x v="3"/>
    <x v="3"/>
    <x v="6"/>
    <x v="5"/>
    <x v="1"/>
    <n v="61"/>
    <x v="11"/>
    <x v="0"/>
  </r>
  <r>
    <n v="67258"/>
    <x v="39"/>
    <x v="8"/>
    <x v="7"/>
    <x v="7"/>
    <x v="1"/>
    <x v="6"/>
    <x v="5"/>
    <x v="1"/>
    <n v="61"/>
    <x v="12"/>
    <x v="0"/>
  </r>
  <r>
    <n v="67259"/>
    <x v="39"/>
    <x v="8"/>
    <x v="8"/>
    <x v="8"/>
    <x v="1"/>
    <x v="6"/>
    <x v="5"/>
    <x v="1"/>
    <n v="61"/>
    <x v="13"/>
    <x v="0"/>
  </r>
  <r>
    <n v="67260"/>
    <x v="39"/>
    <x v="8"/>
    <x v="9"/>
    <x v="9"/>
    <x v="2"/>
    <x v="6"/>
    <x v="5"/>
    <x v="1"/>
    <n v="61"/>
    <x v="14"/>
    <x v="0"/>
  </r>
  <r>
    <n v="67261"/>
    <x v="39"/>
    <x v="8"/>
    <x v="10"/>
    <x v="10"/>
    <x v="2"/>
    <x v="6"/>
    <x v="5"/>
    <x v="1"/>
    <n v="61"/>
    <x v="15"/>
    <x v="0"/>
  </r>
  <r>
    <n v="67262"/>
    <x v="39"/>
    <x v="8"/>
    <x v="11"/>
    <x v="11"/>
    <x v="2"/>
    <x v="6"/>
    <x v="5"/>
    <x v="1"/>
    <n v="61"/>
    <x v="16"/>
    <x v="0"/>
  </r>
  <r>
    <n v="67263"/>
    <x v="39"/>
    <x v="8"/>
    <x v="12"/>
    <x v="12"/>
    <x v="2"/>
    <x v="6"/>
    <x v="5"/>
    <x v="1"/>
    <n v="61"/>
    <x v="17"/>
    <x v="0"/>
  </r>
  <r>
    <n v="67264"/>
    <x v="39"/>
    <x v="6"/>
    <x v="0"/>
    <x v="0"/>
    <x v="0"/>
    <x v="6"/>
    <x v="5"/>
    <x v="1"/>
    <n v="61"/>
    <x v="0"/>
    <x v="0"/>
  </r>
  <r>
    <n v="67265"/>
    <x v="39"/>
    <x v="6"/>
    <x v="3"/>
    <x v="3"/>
    <x v="0"/>
    <x v="6"/>
    <x v="5"/>
    <x v="1"/>
    <n v="61"/>
    <x v="3"/>
    <x v="0"/>
  </r>
  <r>
    <n v="67266"/>
    <x v="40"/>
    <x v="8"/>
    <x v="2"/>
    <x v="2"/>
    <x v="1"/>
    <x v="6"/>
    <x v="5"/>
    <x v="1"/>
    <n v="62"/>
    <x v="4"/>
    <x v="0"/>
  </r>
  <r>
    <n v="67267"/>
    <x v="40"/>
    <x v="8"/>
    <x v="2"/>
    <x v="2"/>
    <x v="2"/>
    <x v="6"/>
    <x v="5"/>
    <x v="1"/>
    <n v="62"/>
    <x v="2"/>
    <x v="0"/>
  </r>
  <r>
    <n v="67268"/>
    <x v="40"/>
    <x v="8"/>
    <x v="4"/>
    <x v="4"/>
    <x v="1"/>
    <x v="6"/>
    <x v="5"/>
    <x v="1"/>
    <n v="62"/>
    <x v="5"/>
    <x v="0"/>
  </r>
  <r>
    <n v="67269"/>
    <x v="40"/>
    <x v="8"/>
    <x v="4"/>
    <x v="4"/>
    <x v="2"/>
    <x v="6"/>
    <x v="5"/>
    <x v="1"/>
    <n v="62"/>
    <x v="6"/>
    <x v="0"/>
  </r>
  <r>
    <n v="67270"/>
    <x v="40"/>
    <x v="8"/>
    <x v="5"/>
    <x v="5"/>
    <x v="2"/>
    <x v="6"/>
    <x v="5"/>
    <x v="1"/>
    <n v="62"/>
    <x v="7"/>
    <x v="0"/>
  </r>
  <r>
    <n v="67271"/>
    <x v="40"/>
    <x v="8"/>
    <x v="6"/>
    <x v="6"/>
    <x v="2"/>
    <x v="6"/>
    <x v="5"/>
    <x v="1"/>
    <n v="62"/>
    <x v="8"/>
    <x v="0"/>
  </r>
  <r>
    <n v="67272"/>
    <x v="40"/>
    <x v="8"/>
    <x v="1"/>
    <x v="1"/>
    <x v="1"/>
    <x v="6"/>
    <x v="5"/>
    <x v="1"/>
    <n v="62"/>
    <x v="1"/>
    <x v="0"/>
  </r>
  <r>
    <n v="67273"/>
    <x v="40"/>
    <x v="8"/>
    <x v="1"/>
    <x v="1"/>
    <x v="2"/>
    <x v="6"/>
    <x v="5"/>
    <x v="1"/>
    <n v="62"/>
    <x v="9"/>
    <x v="0"/>
  </r>
  <r>
    <n v="67274"/>
    <x v="40"/>
    <x v="6"/>
    <x v="0"/>
    <x v="0"/>
    <x v="3"/>
    <x v="6"/>
    <x v="5"/>
    <x v="1"/>
    <n v="62"/>
    <x v="10"/>
    <x v="0"/>
  </r>
  <r>
    <n v="67275"/>
    <x v="40"/>
    <x v="6"/>
    <x v="3"/>
    <x v="3"/>
    <x v="3"/>
    <x v="6"/>
    <x v="5"/>
    <x v="1"/>
    <n v="62"/>
    <x v="11"/>
    <x v="0"/>
  </r>
  <r>
    <n v="67276"/>
    <x v="40"/>
    <x v="8"/>
    <x v="7"/>
    <x v="7"/>
    <x v="1"/>
    <x v="6"/>
    <x v="5"/>
    <x v="1"/>
    <n v="62"/>
    <x v="12"/>
    <x v="0"/>
  </r>
  <r>
    <n v="67277"/>
    <x v="40"/>
    <x v="8"/>
    <x v="8"/>
    <x v="8"/>
    <x v="1"/>
    <x v="6"/>
    <x v="5"/>
    <x v="1"/>
    <n v="62"/>
    <x v="13"/>
    <x v="0"/>
  </r>
  <r>
    <n v="67278"/>
    <x v="40"/>
    <x v="8"/>
    <x v="9"/>
    <x v="9"/>
    <x v="2"/>
    <x v="6"/>
    <x v="5"/>
    <x v="1"/>
    <n v="62"/>
    <x v="14"/>
    <x v="0"/>
  </r>
  <r>
    <n v="67279"/>
    <x v="40"/>
    <x v="8"/>
    <x v="10"/>
    <x v="10"/>
    <x v="2"/>
    <x v="6"/>
    <x v="5"/>
    <x v="1"/>
    <n v="62"/>
    <x v="15"/>
    <x v="0"/>
  </r>
  <r>
    <n v="67280"/>
    <x v="40"/>
    <x v="8"/>
    <x v="11"/>
    <x v="11"/>
    <x v="2"/>
    <x v="6"/>
    <x v="5"/>
    <x v="1"/>
    <n v="62"/>
    <x v="16"/>
    <x v="0"/>
  </r>
  <r>
    <n v="67281"/>
    <x v="40"/>
    <x v="8"/>
    <x v="12"/>
    <x v="12"/>
    <x v="2"/>
    <x v="6"/>
    <x v="5"/>
    <x v="1"/>
    <n v="62"/>
    <x v="17"/>
    <x v="0"/>
  </r>
  <r>
    <n v="67282"/>
    <x v="40"/>
    <x v="6"/>
    <x v="0"/>
    <x v="0"/>
    <x v="0"/>
    <x v="6"/>
    <x v="5"/>
    <x v="1"/>
    <n v="62"/>
    <x v="0"/>
    <x v="0"/>
  </r>
  <r>
    <n v="67283"/>
    <x v="40"/>
    <x v="6"/>
    <x v="3"/>
    <x v="3"/>
    <x v="0"/>
    <x v="6"/>
    <x v="5"/>
    <x v="1"/>
    <n v="62"/>
    <x v="3"/>
    <x v="0"/>
  </r>
  <r>
    <n v="67284"/>
    <x v="41"/>
    <x v="8"/>
    <x v="2"/>
    <x v="2"/>
    <x v="1"/>
    <x v="6"/>
    <x v="5"/>
    <x v="1"/>
    <n v="63"/>
    <x v="4"/>
    <x v="0"/>
  </r>
  <r>
    <n v="67285"/>
    <x v="41"/>
    <x v="8"/>
    <x v="2"/>
    <x v="2"/>
    <x v="2"/>
    <x v="6"/>
    <x v="5"/>
    <x v="1"/>
    <n v="63"/>
    <x v="2"/>
    <x v="0"/>
  </r>
  <r>
    <n v="67286"/>
    <x v="41"/>
    <x v="8"/>
    <x v="4"/>
    <x v="4"/>
    <x v="1"/>
    <x v="6"/>
    <x v="5"/>
    <x v="1"/>
    <n v="63"/>
    <x v="5"/>
    <x v="0"/>
  </r>
  <r>
    <n v="67287"/>
    <x v="41"/>
    <x v="8"/>
    <x v="4"/>
    <x v="4"/>
    <x v="2"/>
    <x v="6"/>
    <x v="5"/>
    <x v="1"/>
    <n v="63"/>
    <x v="6"/>
    <x v="0"/>
  </r>
  <r>
    <n v="67288"/>
    <x v="41"/>
    <x v="8"/>
    <x v="5"/>
    <x v="5"/>
    <x v="2"/>
    <x v="6"/>
    <x v="5"/>
    <x v="1"/>
    <n v="63"/>
    <x v="7"/>
    <x v="0"/>
  </r>
  <r>
    <n v="67289"/>
    <x v="41"/>
    <x v="8"/>
    <x v="6"/>
    <x v="6"/>
    <x v="2"/>
    <x v="6"/>
    <x v="5"/>
    <x v="1"/>
    <n v="63"/>
    <x v="8"/>
    <x v="0"/>
  </r>
  <r>
    <n v="67290"/>
    <x v="41"/>
    <x v="8"/>
    <x v="1"/>
    <x v="1"/>
    <x v="1"/>
    <x v="6"/>
    <x v="5"/>
    <x v="1"/>
    <n v="63"/>
    <x v="1"/>
    <x v="0"/>
  </r>
  <r>
    <n v="67291"/>
    <x v="41"/>
    <x v="8"/>
    <x v="1"/>
    <x v="1"/>
    <x v="2"/>
    <x v="6"/>
    <x v="5"/>
    <x v="1"/>
    <n v="63"/>
    <x v="9"/>
    <x v="0"/>
  </r>
  <r>
    <n v="67292"/>
    <x v="41"/>
    <x v="6"/>
    <x v="0"/>
    <x v="0"/>
    <x v="3"/>
    <x v="6"/>
    <x v="5"/>
    <x v="1"/>
    <n v="63"/>
    <x v="10"/>
    <x v="0"/>
  </r>
  <r>
    <n v="67293"/>
    <x v="41"/>
    <x v="6"/>
    <x v="3"/>
    <x v="3"/>
    <x v="3"/>
    <x v="6"/>
    <x v="5"/>
    <x v="1"/>
    <n v="63"/>
    <x v="11"/>
    <x v="0"/>
  </r>
  <r>
    <n v="67294"/>
    <x v="41"/>
    <x v="8"/>
    <x v="7"/>
    <x v="7"/>
    <x v="1"/>
    <x v="6"/>
    <x v="5"/>
    <x v="1"/>
    <n v="63"/>
    <x v="12"/>
    <x v="0"/>
  </r>
  <r>
    <n v="67295"/>
    <x v="41"/>
    <x v="8"/>
    <x v="8"/>
    <x v="8"/>
    <x v="1"/>
    <x v="6"/>
    <x v="5"/>
    <x v="1"/>
    <n v="63"/>
    <x v="13"/>
    <x v="0"/>
  </r>
  <r>
    <n v="67296"/>
    <x v="41"/>
    <x v="8"/>
    <x v="9"/>
    <x v="9"/>
    <x v="2"/>
    <x v="6"/>
    <x v="5"/>
    <x v="1"/>
    <n v="63"/>
    <x v="14"/>
    <x v="0"/>
  </r>
  <r>
    <n v="67297"/>
    <x v="41"/>
    <x v="8"/>
    <x v="10"/>
    <x v="10"/>
    <x v="2"/>
    <x v="6"/>
    <x v="5"/>
    <x v="1"/>
    <n v="63"/>
    <x v="15"/>
    <x v="0"/>
  </r>
  <r>
    <n v="67298"/>
    <x v="41"/>
    <x v="8"/>
    <x v="11"/>
    <x v="11"/>
    <x v="2"/>
    <x v="6"/>
    <x v="5"/>
    <x v="1"/>
    <n v="63"/>
    <x v="16"/>
    <x v="0"/>
  </r>
  <r>
    <n v="67299"/>
    <x v="41"/>
    <x v="8"/>
    <x v="12"/>
    <x v="12"/>
    <x v="2"/>
    <x v="6"/>
    <x v="5"/>
    <x v="1"/>
    <n v="63"/>
    <x v="17"/>
    <x v="0"/>
  </r>
  <r>
    <n v="67300"/>
    <x v="41"/>
    <x v="6"/>
    <x v="0"/>
    <x v="0"/>
    <x v="0"/>
    <x v="6"/>
    <x v="5"/>
    <x v="1"/>
    <n v="63"/>
    <x v="0"/>
    <x v="0"/>
  </r>
  <r>
    <n v="67301"/>
    <x v="41"/>
    <x v="6"/>
    <x v="3"/>
    <x v="3"/>
    <x v="0"/>
    <x v="6"/>
    <x v="5"/>
    <x v="1"/>
    <n v="63"/>
    <x v="3"/>
    <x v="0"/>
  </r>
  <r>
    <n v="67302"/>
    <x v="42"/>
    <x v="8"/>
    <x v="2"/>
    <x v="2"/>
    <x v="1"/>
    <x v="6"/>
    <x v="5"/>
    <x v="1"/>
    <n v="64"/>
    <x v="4"/>
    <x v="0"/>
  </r>
  <r>
    <n v="67303"/>
    <x v="42"/>
    <x v="8"/>
    <x v="2"/>
    <x v="2"/>
    <x v="2"/>
    <x v="6"/>
    <x v="5"/>
    <x v="1"/>
    <n v="64"/>
    <x v="2"/>
    <x v="0"/>
  </r>
  <r>
    <n v="67304"/>
    <x v="42"/>
    <x v="8"/>
    <x v="4"/>
    <x v="4"/>
    <x v="1"/>
    <x v="6"/>
    <x v="5"/>
    <x v="1"/>
    <n v="64"/>
    <x v="5"/>
    <x v="0"/>
  </r>
  <r>
    <n v="67305"/>
    <x v="42"/>
    <x v="8"/>
    <x v="4"/>
    <x v="4"/>
    <x v="2"/>
    <x v="6"/>
    <x v="5"/>
    <x v="1"/>
    <n v="64"/>
    <x v="6"/>
    <x v="0"/>
  </r>
  <r>
    <n v="67306"/>
    <x v="42"/>
    <x v="8"/>
    <x v="5"/>
    <x v="5"/>
    <x v="2"/>
    <x v="6"/>
    <x v="5"/>
    <x v="1"/>
    <n v="64"/>
    <x v="7"/>
    <x v="0"/>
  </r>
  <r>
    <n v="67307"/>
    <x v="42"/>
    <x v="8"/>
    <x v="6"/>
    <x v="6"/>
    <x v="2"/>
    <x v="6"/>
    <x v="5"/>
    <x v="1"/>
    <n v="64"/>
    <x v="8"/>
    <x v="0"/>
  </r>
  <r>
    <n v="67308"/>
    <x v="42"/>
    <x v="8"/>
    <x v="1"/>
    <x v="1"/>
    <x v="1"/>
    <x v="6"/>
    <x v="5"/>
    <x v="1"/>
    <n v="64"/>
    <x v="1"/>
    <x v="0"/>
  </r>
  <r>
    <n v="67309"/>
    <x v="42"/>
    <x v="8"/>
    <x v="1"/>
    <x v="1"/>
    <x v="2"/>
    <x v="6"/>
    <x v="5"/>
    <x v="1"/>
    <n v="64"/>
    <x v="9"/>
    <x v="0"/>
  </r>
  <r>
    <n v="67310"/>
    <x v="42"/>
    <x v="6"/>
    <x v="0"/>
    <x v="0"/>
    <x v="3"/>
    <x v="6"/>
    <x v="5"/>
    <x v="1"/>
    <n v="64"/>
    <x v="10"/>
    <x v="0"/>
  </r>
  <r>
    <n v="67311"/>
    <x v="42"/>
    <x v="6"/>
    <x v="3"/>
    <x v="3"/>
    <x v="3"/>
    <x v="6"/>
    <x v="5"/>
    <x v="1"/>
    <n v="64"/>
    <x v="11"/>
    <x v="0"/>
  </r>
  <r>
    <n v="67312"/>
    <x v="42"/>
    <x v="8"/>
    <x v="7"/>
    <x v="7"/>
    <x v="1"/>
    <x v="6"/>
    <x v="5"/>
    <x v="1"/>
    <n v="64"/>
    <x v="12"/>
    <x v="0"/>
  </r>
  <r>
    <n v="67313"/>
    <x v="42"/>
    <x v="8"/>
    <x v="8"/>
    <x v="8"/>
    <x v="1"/>
    <x v="6"/>
    <x v="5"/>
    <x v="1"/>
    <n v="64"/>
    <x v="13"/>
    <x v="0"/>
  </r>
  <r>
    <n v="67314"/>
    <x v="42"/>
    <x v="8"/>
    <x v="9"/>
    <x v="9"/>
    <x v="2"/>
    <x v="6"/>
    <x v="5"/>
    <x v="1"/>
    <n v="64"/>
    <x v="14"/>
    <x v="0"/>
  </r>
  <r>
    <n v="67315"/>
    <x v="42"/>
    <x v="8"/>
    <x v="10"/>
    <x v="10"/>
    <x v="2"/>
    <x v="6"/>
    <x v="5"/>
    <x v="1"/>
    <n v="64"/>
    <x v="15"/>
    <x v="0"/>
  </r>
  <r>
    <n v="67316"/>
    <x v="42"/>
    <x v="8"/>
    <x v="11"/>
    <x v="11"/>
    <x v="2"/>
    <x v="6"/>
    <x v="5"/>
    <x v="1"/>
    <n v="64"/>
    <x v="16"/>
    <x v="0"/>
  </r>
  <r>
    <n v="67317"/>
    <x v="42"/>
    <x v="8"/>
    <x v="12"/>
    <x v="12"/>
    <x v="2"/>
    <x v="6"/>
    <x v="5"/>
    <x v="1"/>
    <n v="64"/>
    <x v="17"/>
    <x v="0"/>
  </r>
  <r>
    <n v="67318"/>
    <x v="42"/>
    <x v="6"/>
    <x v="0"/>
    <x v="0"/>
    <x v="0"/>
    <x v="6"/>
    <x v="5"/>
    <x v="1"/>
    <n v="64"/>
    <x v="0"/>
    <x v="0"/>
  </r>
  <r>
    <n v="67319"/>
    <x v="42"/>
    <x v="6"/>
    <x v="3"/>
    <x v="3"/>
    <x v="0"/>
    <x v="6"/>
    <x v="5"/>
    <x v="1"/>
    <n v="64"/>
    <x v="3"/>
    <x v="0"/>
  </r>
  <r>
    <n v="67320"/>
    <x v="43"/>
    <x v="8"/>
    <x v="2"/>
    <x v="2"/>
    <x v="1"/>
    <x v="6"/>
    <x v="5"/>
    <x v="1"/>
    <n v="65"/>
    <x v="4"/>
    <x v="0"/>
  </r>
  <r>
    <n v="67321"/>
    <x v="43"/>
    <x v="8"/>
    <x v="2"/>
    <x v="2"/>
    <x v="2"/>
    <x v="6"/>
    <x v="5"/>
    <x v="1"/>
    <n v="65"/>
    <x v="2"/>
    <x v="0"/>
  </r>
  <r>
    <n v="67322"/>
    <x v="43"/>
    <x v="8"/>
    <x v="4"/>
    <x v="4"/>
    <x v="1"/>
    <x v="6"/>
    <x v="5"/>
    <x v="1"/>
    <n v="65"/>
    <x v="5"/>
    <x v="0"/>
  </r>
  <r>
    <n v="67323"/>
    <x v="43"/>
    <x v="8"/>
    <x v="4"/>
    <x v="4"/>
    <x v="2"/>
    <x v="6"/>
    <x v="5"/>
    <x v="1"/>
    <n v="65"/>
    <x v="6"/>
    <x v="0"/>
  </r>
  <r>
    <n v="67324"/>
    <x v="43"/>
    <x v="8"/>
    <x v="5"/>
    <x v="5"/>
    <x v="2"/>
    <x v="6"/>
    <x v="5"/>
    <x v="1"/>
    <n v="65"/>
    <x v="7"/>
    <x v="0"/>
  </r>
  <r>
    <n v="67325"/>
    <x v="43"/>
    <x v="8"/>
    <x v="6"/>
    <x v="6"/>
    <x v="2"/>
    <x v="6"/>
    <x v="5"/>
    <x v="1"/>
    <n v="65"/>
    <x v="8"/>
    <x v="0"/>
  </r>
  <r>
    <n v="67326"/>
    <x v="43"/>
    <x v="8"/>
    <x v="1"/>
    <x v="1"/>
    <x v="1"/>
    <x v="6"/>
    <x v="5"/>
    <x v="1"/>
    <n v="65"/>
    <x v="1"/>
    <x v="0"/>
  </r>
  <r>
    <n v="67327"/>
    <x v="43"/>
    <x v="8"/>
    <x v="1"/>
    <x v="1"/>
    <x v="2"/>
    <x v="6"/>
    <x v="5"/>
    <x v="1"/>
    <n v="65"/>
    <x v="9"/>
    <x v="0"/>
  </r>
  <r>
    <n v="67328"/>
    <x v="43"/>
    <x v="6"/>
    <x v="0"/>
    <x v="0"/>
    <x v="3"/>
    <x v="6"/>
    <x v="5"/>
    <x v="1"/>
    <n v="65"/>
    <x v="10"/>
    <x v="0"/>
  </r>
  <r>
    <n v="67329"/>
    <x v="43"/>
    <x v="6"/>
    <x v="3"/>
    <x v="3"/>
    <x v="3"/>
    <x v="6"/>
    <x v="5"/>
    <x v="1"/>
    <n v="65"/>
    <x v="11"/>
    <x v="0"/>
  </r>
  <r>
    <n v="67330"/>
    <x v="43"/>
    <x v="8"/>
    <x v="7"/>
    <x v="7"/>
    <x v="1"/>
    <x v="6"/>
    <x v="5"/>
    <x v="1"/>
    <n v="65"/>
    <x v="12"/>
    <x v="0"/>
  </r>
  <r>
    <n v="67331"/>
    <x v="43"/>
    <x v="8"/>
    <x v="8"/>
    <x v="8"/>
    <x v="1"/>
    <x v="6"/>
    <x v="5"/>
    <x v="1"/>
    <n v="65"/>
    <x v="13"/>
    <x v="0"/>
  </r>
  <r>
    <n v="67332"/>
    <x v="43"/>
    <x v="8"/>
    <x v="9"/>
    <x v="9"/>
    <x v="2"/>
    <x v="6"/>
    <x v="5"/>
    <x v="1"/>
    <n v="65"/>
    <x v="14"/>
    <x v="0"/>
  </r>
  <r>
    <n v="67333"/>
    <x v="43"/>
    <x v="8"/>
    <x v="10"/>
    <x v="10"/>
    <x v="2"/>
    <x v="6"/>
    <x v="5"/>
    <x v="1"/>
    <n v="65"/>
    <x v="15"/>
    <x v="0"/>
  </r>
  <r>
    <n v="67334"/>
    <x v="43"/>
    <x v="8"/>
    <x v="11"/>
    <x v="11"/>
    <x v="2"/>
    <x v="6"/>
    <x v="5"/>
    <x v="1"/>
    <n v="65"/>
    <x v="16"/>
    <x v="0"/>
  </r>
  <r>
    <n v="67335"/>
    <x v="43"/>
    <x v="8"/>
    <x v="12"/>
    <x v="12"/>
    <x v="2"/>
    <x v="6"/>
    <x v="5"/>
    <x v="1"/>
    <n v="65"/>
    <x v="17"/>
    <x v="0"/>
  </r>
  <r>
    <n v="67336"/>
    <x v="43"/>
    <x v="6"/>
    <x v="0"/>
    <x v="0"/>
    <x v="0"/>
    <x v="6"/>
    <x v="5"/>
    <x v="1"/>
    <n v="65"/>
    <x v="0"/>
    <x v="0"/>
  </r>
  <r>
    <n v="67337"/>
    <x v="43"/>
    <x v="6"/>
    <x v="3"/>
    <x v="3"/>
    <x v="0"/>
    <x v="6"/>
    <x v="5"/>
    <x v="1"/>
    <n v="65"/>
    <x v="3"/>
    <x v="0"/>
  </r>
  <r>
    <n v="67338"/>
    <x v="44"/>
    <x v="8"/>
    <x v="2"/>
    <x v="2"/>
    <x v="1"/>
    <x v="10"/>
    <x v="5"/>
    <x v="1"/>
    <n v="66"/>
    <x v="4"/>
    <x v="0"/>
  </r>
  <r>
    <n v="67339"/>
    <x v="44"/>
    <x v="8"/>
    <x v="2"/>
    <x v="2"/>
    <x v="2"/>
    <x v="10"/>
    <x v="5"/>
    <x v="1"/>
    <n v="66"/>
    <x v="2"/>
    <x v="0"/>
  </r>
  <r>
    <n v="67340"/>
    <x v="44"/>
    <x v="8"/>
    <x v="4"/>
    <x v="4"/>
    <x v="1"/>
    <x v="10"/>
    <x v="5"/>
    <x v="1"/>
    <n v="66"/>
    <x v="5"/>
    <x v="0"/>
  </r>
  <r>
    <n v="67341"/>
    <x v="44"/>
    <x v="8"/>
    <x v="4"/>
    <x v="4"/>
    <x v="2"/>
    <x v="10"/>
    <x v="5"/>
    <x v="1"/>
    <n v="66"/>
    <x v="6"/>
    <x v="0"/>
  </r>
  <r>
    <n v="67342"/>
    <x v="44"/>
    <x v="8"/>
    <x v="5"/>
    <x v="5"/>
    <x v="2"/>
    <x v="10"/>
    <x v="5"/>
    <x v="1"/>
    <n v="66"/>
    <x v="7"/>
    <x v="0"/>
  </r>
  <r>
    <n v="67343"/>
    <x v="44"/>
    <x v="8"/>
    <x v="6"/>
    <x v="6"/>
    <x v="2"/>
    <x v="10"/>
    <x v="5"/>
    <x v="1"/>
    <n v="66"/>
    <x v="8"/>
    <x v="0"/>
  </r>
  <r>
    <n v="67344"/>
    <x v="44"/>
    <x v="8"/>
    <x v="1"/>
    <x v="1"/>
    <x v="1"/>
    <x v="10"/>
    <x v="5"/>
    <x v="1"/>
    <n v="66"/>
    <x v="1"/>
    <x v="0"/>
  </r>
  <r>
    <n v="67345"/>
    <x v="44"/>
    <x v="8"/>
    <x v="1"/>
    <x v="1"/>
    <x v="2"/>
    <x v="10"/>
    <x v="5"/>
    <x v="1"/>
    <n v="66"/>
    <x v="9"/>
    <x v="0"/>
  </r>
  <r>
    <n v="67346"/>
    <x v="44"/>
    <x v="6"/>
    <x v="0"/>
    <x v="0"/>
    <x v="3"/>
    <x v="10"/>
    <x v="5"/>
    <x v="1"/>
    <n v="66"/>
    <x v="10"/>
    <x v="0"/>
  </r>
  <r>
    <n v="67347"/>
    <x v="44"/>
    <x v="6"/>
    <x v="3"/>
    <x v="3"/>
    <x v="3"/>
    <x v="10"/>
    <x v="5"/>
    <x v="1"/>
    <n v="66"/>
    <x v="11"/>
    <x v="0"/>
  </r>
  <r>
    <n v="67348"/>
    <x v="44"/>
    <x v="8"/>
    <x v="7"/>
    <x v="7"/>
    <x v="1"/>
    <x v="10"/>
    <x v="5"/>
    <x v="1"/>
    <n v="66"/>
    <x v="12"/>
    <x v="0"/>
  </r>
  <r>
    <n v="67349"/>
    <x v="44"/>
    <x v="8"/>
    <x v="8"/>
    <x v="8"/>
    <x v="1"/>
    <x v="10"/>
    <x v="5"/>
    <x v="1"/>
    <n v="66"/>
    <x v="13"/>
    <x v="0"/>
  </r>
  <r>
    <n v="67350"/>
    <x v="44"/>
    <x v="8"/>
    <x v="9"/>
    <x v="9"/>
    <x v="2"/>
    <x v="10"/>
    <x v="5"/>
    <x v="1"/>
    <n v="66"/>
    <x v="14"/>
    <x v="0"/>
  </r>
  <r>
    <n v="67351"/>
    <x v="44"/>
    <x v="8"/>
    <x v="10"/>
    <x v="10"/>
    <x v="2"/>
    <x v="10"/>
    <x v="5"/>
    <x v="1"/>
    <n v="66"/>
    <x v="15"/>
    <x v="0"/>
  </r>
  <r>
    <n v="67352"/>
    <x v="44"/>
    <x v="8"/>
    <x v="11"/>
    <x v="11"/>
    <x v="2"/>
    <x v="10"/>
    <x v="5"/>
    <x v="1"/>
    <n v="66"/>
    <x v="16"/>
    <x v="0"/>
  </r>
  <r>
    <n v="67353"/>
    <x v="44"/>
    <x v="8"/>
    <x v="12"/>
    <x v="12"/>
    <x v="2"/>
    <x v="10"/>
    <x v="5"/>
    <x v="1"/>
    <n v="66"/>
    <x v="17"/>
    <x v="0"/>
  </r>
  <r>
    <n v="67354"/>
    <x v="44"/>
    <x v="6"/>
    <x v="0"/>
    <x v="0"/>
    <x v="0"/>
    <x v="10"/>
    <x v="5"/>
    <x v="1"/>
    <n v="66"/>
    <x v="0"/>
    <x v="0"/>
  </r>
  <r>
    <n v="67355"/>
    <x v="44"/>
    <x v="6"/>
    <x v="3"/>
    <x v="3"/>
    <x v="0"/>
    <x v="10"/>
    <x v="5"/>
    <x v="1"/>
    <n v="66"/>
    <x v="3"/>
    <x v="0"/>
  </r>
  <r>
    <n v="67356"/>
    <x v="45"/>
    <x v="8"/>
    <x v="2"/>
    <x v="2"/>
    <x v="1"/>
    <x v="10"/>
    <x v="5"/>
    <x v="1"/>
    <n v="67"/>
    <x v="4"/>
    <x v="0"/>
  </r>
  <r>
    <n v="67357"/>
    <x v="45"/>
    <x v="8"/>
    <x v="2"/>
    <x v="2"/>
    <x v="2"/>
    <x v="10"/>
    <x v="5"/>
    <x v="1"/>
    <n v="67"/>
    <x v="2"/>
    <x v="0"/>
  </r>
  <r>
    <n v="67358"/>
    <x v="45"/>
    <x v="8"/>
    <x v="4"/>
    <x v="4"/>
    <x v="1"/>
    <x v="10"/>
    <x v="5"/>
    <x v="1"/>
    <n v="67"/>
    <x v="5"/>
    <x v="0"/>
  </r>
  <r>
    <n v="67359"/>
    <x v="45"/>
    <x v="8"/>
    <x v="4"/>
    <x v="4"/>
    <x v="2"/>
    <x v="10"/>
    <x v="5"/>
    <x v="1"/>
    <n v="67"/>
    <x v="6"/>
    <x v="0"/>
  </r>
  <r>
    <n v="67360"/>
    <x v="45"/>
    <x v="8"/>
    <x v="5"/>
    <x v="5"/>
    <x v="2"/>
    <x v="10"/>
    <x v="5"/>
    <x v="1"/>
    <n v="67"/>
    <x v="7"/>
    <x v="0"/>
  </r>
  <r>
    <n v="67361"/>
    <x v="45"/>
    <x v="8"/>
    <x v="6"/>
    <x v="6"/>
    <x v="2"/>
    <x v="10"/>
    <x v="5"/>
    <x v="1"/>
    <n v="67"/>
    <x v="8"/>
    <x v="0"/>
  </r>
  <r>
    <n v="67362"/>
    <x v="45"/>
    <x v="8"/>
    <x v="1"/>
    <x v="1"/>
    <x v="1"/>
    <x v="10"/>
    <x v="5"/>
    <x v="1"/>
    <n v="67"/>
    <x v="1"/>
    <x v="0"/>
  </r>
  <r>
    <n v="67363"/>
    <x v="45"/>
    <x v="8"/>
    <x v="1"/>
    <x v="1"/>
    <x v="2"/>
    <x v="10"/>
    <x v="5"/>
    <x v="1"/>
    <n v="67"/>
    <x v="9"/>
    <x v="0"/>
  </r>
  <r>
    <n v="67364"/>
    <x v="45"/>
    <x v="6"/>
    <x v="0"/>
    <x v="0"/>
    <x v="3"/>
    <x v="10"/>
    <x v="5"/>
    <x v="1"/>
    <n v="67"/>
    <x v="10"/>
    <x v="0"/>
  </r>
  <r>
    <n v="67365"/>
    <x v="45"/>
    <x v="6"/>
    <x v="3"/>
    <x v="3"/>
    <x v="3"/>
    <x v="10"/>
    <x v="5"/>
    <x v="1"/>
    <n v="67"/>
    <x v="11"/>
    <x v="0"/>
  </r>
  <r>
    <n v="67366"/>
    <x v="45"/>
    <x v="8"/>
    <x v="7"/>
    <x v="7"/>
    <x v="1"/>
    <x v="10"/>
    <x v="5"/>
    <x v="1"/>
    <n v="67"/>
    <x v="12"/>
    <x v="0"/>
  </r>
  <r>
    <n v="67367"/>
    <x v="45"/>
    <x v="8"/>
    <x v="8"/>
    <x v="8"/>
    <x v="1"/>
    <x v="10"/>
    <x v="5"/>
    <x v="1"/>
    <n v="67"/>
    <x v="13"/>
    <x v="0"/>
  </r>
  <r>
    <n v="67368"/>
    <x v="45"/>
    <x v="8"/>
    <x v="9"/>
    <x v="9"/>
    <x v="2"/>
    <x v="10"/>
    <x v="5"/>
    <x v="1"/>
    <n v="67"/>
    <x v="14"/>
    <x v="0"/>
  </r>
  <r>
    <n v="67369"/>
    <x v="45"/>
    <x v="8"/>
    <x v="10"/>
    <x v="10"/>
    <x v="2"/>
    <x v="10"/>
    <x v="5"/>
    <x v="1"/>
    <n v="67"/>
    <x v="15"/>
    <x v="0"/>
  </r>
  <r>
    <n v="67370"/>
    <x v="45"/>
    <x v="8"/>
    <x v="11"/>
    <x v="11"/>
    <x v="2"/>
    <x v="10"/>
    <x v="5"/>
    <x v="1"/>
    <n v="67"/>
    <x v="16"/>
    <x v="0"/>
  </r>
  <r>
    <n v="67371"/>
    <x v="45"/>
    <x v="8"/>
    <x v="12"/>
    <x v="12"/>
    <x v="2"/>
    <x v="10"/>
    <x v="5"/>
    <x v="1"/>
    <n v="67"/>
    <x v="17"/>
    <x v="0"/>
  </r>
  <r>
    <n v="67372"/>
    <x v="45"/>
    <x v="6"/>
    <x v="0"/>
    <x v="0"/>
    <x v="0"/>
    <x v="10"/>
    <x v="5"/>
    <x v="1"/>
    <n v="67"/>
    <x v="0"/>
    <x v="0"/>
  </r>
  <r>
    <n v="67373"/>
    <x v="45"/>
    <x v="6"/>
    <x v="3"/>
    <x v="3"/>
    <x v="0"/>
    <x v="10"/>
    <x v="5"/>
    <x v="1"/>
    <n v="67"/>
    <x v="3"/>
    <x v="0"/>
  </r>
  <r>
    <n v="67374"/>
    <x v="46"/>
    <x v="8"/>
    <x v="2"/>
    <x v="2"/>
    <x v="1"/>
    <x v="10"/>
    <x v="5"/>
    <x v="1"/>
    <n v="68"/>
    <x v="4"/>
    <x v="0"/>
  </r>
  <r>
    <n v="67375"/>
    <x v="46"/>
    <x v="8"/>
    <x v="2"/>
    <x v="2"/>
    <x v="2"/>
    <x v="10"/>
    <x v="5"/>
    <x v="1"/>
    <n v="68"/>
    <x v="2"/>
    <x v="0"/>
  </r>
  <r>
    <n v="67376"/>
    <x v="46"/>
    <x v="8"/>
    <x v="4"/>
    <x v="4"/>
    <x v="1"/>
    <x v="10"/>
    <x v="5"/>
    <x v="1"/>
    <n v="68"/>
    <x v="5"/>
    <x v="0"/>
  </r>
  <r>
    <n v="67377"/>
    <x v="46"/>
    <x v="8"/>
    <x v="4"/>
    <x v="4"/>
    <x v="2"/>
    <x v="10"/>
    <x v="5"/>
    <x v="1"/>
    <n v="68"/>
    <x v="6"/>
    <x v="0"/>
  </r>
  <r>
    <n v="67378"/>
    <x v="46"/>
    <x v="8"/>
    <x v="5"/>
    <x v="5"/>
    <x v="2"/>
    <x v="10"/>
    <x v="5"/>
    <x v="1"/>
    <n v="68"/>
    <x v="7"/>
    <x v="0"/>
  </r>
  <r>
    <n v="67379"/>
    <x v="46"/>
    <x v="8"/>
    <x v="6"/>
    <x v="6"/>
    <x v="2"/>
    <x v="10"/>
    <x v="5"/>
    <x v="1"/>
    <n v="68"/>
    <x v="8"/>
    <x v="0"/>
  </r>
  <r>
    <n v="67380"/>
    <x v="46"/>
    <x v="8"/>
    <x v="1"/>
    <x v="1"/>
    <x v="1"/>
    <x v="10"/>
    <x v="5"/>
    <x v="1"/>
    <n v="68"/>
    <x v="1"/>
    <x v="0"/>
  </r>
  <r>
    <n v="67381"/>
    <x v="46"/>
    <x v="8"/>
    <x v="1"/>
    <x v="1"/>
    <x v="2"/>
    <x v="10"/>
    <x v="5"/>
    <x v="1"/>
    <n v="68"/>
    <x v="9"/>
    <x v="0"/>
  </r>
  <r>
    <n v="67382"/>
    <x v="46"/>
    <x v="6"/>
    <x v="0"/>
    <x v="0"/>
    <x v="3"/>
    <x v="10"/>
    <x v="5"/>
    <x v="1"/>
    <n v="68"/>
    <x v="10"/>
    <x v="0"/>
  </r>
  <r>
    <n v="67383"/>
    <x v="46"/>
    <x v="6"/>
    <x v="3"/>
    <x v="3"/>
    <x v="3"/>
    <x v="10"/>
    <x v="5"/>
    <x v="1"/>
    <n v="68"/>
    <x v="11"/>
    <x v="0"/>
  </r>
  <r>
    <n v="67384"/>
    <x v="46"/>
    <x v="8"/>
    <x v="7"/>
    <x v="7"/>
    <x v="1"/>
    <x v="10"/>
    <x v="5"/>
    <x v="1"/>
    <n v="68"/>
    <x v="12"/>
    <x v="0"/>
  </r>
  <r>
    <n v="67385"/>
    <x v="46"/>
    <x v="8"/>
    <x v="8"/>
    <x v="8"/>
    <x v="1"/>
    <x v="10"/>
    <x v="5"/>
    <x v="1"/>
    <n v="68"/>
    <x v="13"/>
    <x v="0"/>
  </r>
  <r>
    <n v="67386"/>
    <x v="46"/>
    <x v="8"/>
    <x v="9"/>
    <x v="9"/>
    <x v="2"/>
    <x v="10"/>
    <x v="5"/>
    <x v="1"/>
    <n v="68"/>
    <x v="14"/>
    <x v="0"/>
  </r>
  <r>
    <n v="67387"/>
    <x v="46"/>
    <x v="8"/>
    <x v="10"/>
    <x v="10"/>
    <x v="2"/>
    <x v="10"/>
    <x v="5"/>
    <x v="1"/>
    <n v="68"/>
    <x v="15"/>
    <x v="0"/>
  </r>
  <r>
    <n v="67388"/>
    <x v="46"/>
    <x v="8"/>
    <x v="11"/>
    <x v="11"/>
    <x v="2"/>
    <x v="10"/>
    <x v="5"/>
    <x v="1"/>
    <n v="68"/>
    <x v="16"/>
    <x v="0"/>
  </r>
  <r>
    <n v="67389"/>
    <x v="46"/>
    <x v="8"/>
    <x v="12"/>
    <x v="12"/>
    <x v="2"/>
    <x v="10"/>
    <x v="5"/>
    <x v="1"/>
    <n v="68"/>
    <x v="17"/>
    <x v="0"/>
  </r>
  <r>
    <n v="67390"/>
    <x v="46"/>
    <x v="6"/>
    <x v="0"/>
    <x v="0"/>
    <x v="0"/>
    <x v="10"/>
    <x v="5"/>
    <x v="1"/>
    <n v="68"/>
    <x v="0"/>
    <x v="0"/>
  </r>
  <r>
    <n v="67391"/>
    <x v="46"/>
    <x v="6"/>
    <x v="3"/>
    <x v="3"/>
    <x v="0"/>
    <x v="10"/>
    <x v="5"/>
    <x v="1"/>
    <n v="68"/>
    <x v="3"/>
    <x v="0"/>
  </r>
  <r>
    <n v="67392"/>
    <x v="47"/>
    <x v="8"/>
    <x v="2"/>
    <x v="2"/>
    <x v="1"/>
    <x v="10"/>
    <x v="5"/>
    <x v="1"/>
    <n v="69"/>
    <x v="4"/>
    <x v="0"/>
  </r>
  <r>
    <n v="67393"/>
    <x v="47"/>
    <x v="8"/>
    <x v="2"/>
    <x v="2"/>
    <x v="2"/>
    <x v="10"/>
    <x v="5"/>
    <x v="1"/>
    <n v="69"/>
    <x v="2"/>
    <x v="0"/>
  </r>
  <r>
    <n v="67394"/>
    <x v="47"/>
    <x v="8"/>
    <x v="4"/>
    <x v="4"/>
    <x v="1"/>
    <x v="10"/>
    <x v="5"/>
    <x v="1"/>
    <n v="69"/>
    <x v="5"/>
    <x v="0"/>
  </r>
  <r>
    <n v="67395"/>
    <x v="47"/>
    <x v="8"/>
    <x v="4"/>
    <x v="4"/>
    <x v="2"/>
    <x v="10"/>
    <x v="5"/>
    <x v="1"/>
    <n v="69"/>
    <x v="6"/>
    <x v="0"/>
  </r>
  <r>
    <n v="67396"/>
    <x v="47"/>
    <x v="8"/>
    <x v="5"/>
    <x v="5"/>
    <x v="2"/>
    <x v="10"/>
    <x v="5"/>
    <x v="1"/>
    <n v="69"/>
    <x v="7"/>
    <x v="0"/>
  </r>
  <r>
    <n v="67397"/>
    <x v="47"/>
    <x v="8"/>
    <x v="6"/>
    <x v="6"/>
    <x v="2"/>
    <x v="10"/>
    <x v="5"/>
    <x v="1"/>
    <n v="69"/>
    <x v="8"/>
    <x v="0"/>
  </r>
  <r>
    <n v="67398"/>
    <x v="47"/>
    <x v="8"/>
    <x v="1"/>
    <x v="1"/>
    <x v="1"/>
    <x v="10"/>
    <x v="5"/>
    <x v="1"/>
    <n v="69"/>
    <x v="1"/>
    <x v="0"/>
  </r>
  <r>
    <n v="67399"/>
    <x v="47"/>
    <x v="8"/>
    <x v="1"/>
    <x v="1"/>
    <x v="2"/>
    <x v="10"/>
    <x v="5"/>
    <x v="1"/>
    <n v="69"/>
    <x v="9"/>
    <x v="0"/>
  </r>
  <r>
    <n v="67400"/>
    <x v="47"/>
    <x v="6"/>
    <x v="0"/>
    <x v="0"/>
    <x v="3"/>
    <x v="10"/>
    <x v="5"/>
    <x v="1"/>
    <n v="69"/>
    <x v="10"/>
    <x v="0"/>
  </r>
  <r>
    <n v="67401"/>
    <x v="47"/>
    <x v="6"/>
    <x v="3"/>
    <x v="3"/>
    <x v="3"/>
    <x v="10"/>
    <x v="5"/>
    <x v="1"/>
    <n v="69"/>
    <x v="11"/>
    <x v="0"/>
  </r>
  <r>
    <n v="67402"/>
    <x v="47"/>
    <x v="8"/>
    <x v="7"/>
    <x v="7"/>
    <x v="1"/>
    <x v="10"/>
    <x v="5"/>
    <x v="1"/>
    <n v="69"/>
    <x v="12"/>
    <x v="0"/>
  </r>
  <r>
    <n v="67403"/>
    <x v="47"/>
    <x v="8"/>
    <x v="8"/>
    <x v="8"/>
    <x v="1"/>
    <x v="10"/>
    <x v="5"/>
    <x v="1"/>
    <n v="69"/>
    <x v="13"/>
    <x v="0"/>
  </r>
  <r>
    <n v="67404"/>
    <x v="47"/>
    <x v="8"/>
    <x v="9"/>
    <x v="9"/>
    <x v="2"/>
    <x v="10"/>
    <x v="5"/>
    <x v="1"/>
    <n v="69"/>
    <x v="14"/>
    <x v="0"/>
  </r>
  <r>
    <n v="67405"/>
    <x v="47"/>
    <x v="8"/>
    <x v="10"/>
    <x v="10"/>
    <x v="2"/>
    <x v="10"/>
    <x v="5"/>
    <x v="1"/>
    <n v="69"/>
    <x v="15"/>
    <x v="0"/>
  </r>
  <r>
    <n v="67406"/>
    <x v="47"/>
    <x v="8"/>
    <x v="11"/>
    <x v="11"/>
    <x v="2"/>
    <x v="10"/>
    <x v="5"/>
    <x v="1"/>
    <n v="69"/>
    <x v="16"/>
    <x v="0"/>
  </r>
  <r>
    <n v="67407"/>
    <x v="47"/>
    <x v="8"/>
    <x v="12"/>
    <x v="12"/>
    <x v="2"/>
    <x v="10"/>
    <x v="5"/>
    <x v="1"/>
    <n v="69"/>
    <x v="17"/>
    <x v="0"/>
  </r>
  <r>
    <n v="67408"/>
    <x v="47"/>
    <x v="6"/>
    <x v="0"/>
    <x v="0"/>
    <x v="0"/>
    <x v="10"/>
    <x v="5"/>
    <x v="1"/>
    <n v="69"/>
    <x v="0"/>
    <x v="0"/>
  </r>
  <r>
    <n v="67409"/>
    <x v="47"/>
    <x v="6"/>
    <x v="3"/>
    <x v="3"/>
    <x v="0"/>
    <x v="10"/>
    <x v="5"/>
    <x v="1"/>
    <n v="69"/>
    <x v="3"/>
    <x v="0"/>
  </r>
  <r>
    <n v="67410"/>
    <x v="48"/>
    <x v="8"/>
    <x v="2"/>
    <x v="2"/>
    <x v="1"/>
    <x v="11"/>
    <x v="5"/>
    <x v="1"/>
    <n v="70"/>
    <x v="4"/>
    <x v="0"/>
  </r>
  <r>
    <n v="67411"/>
    <x v="48"/>
    <x v="8"/>
    <x v="2"/>
    <x v="2"/>
    <x v="2"/>
    <x v="11"/>
    <x v="5"/>
    <x v="1"/>
    <n v="70"/>
    <x v="2"/>
    <x v="0"/>
  </r>
  <r>
    <n v="67412"/>
    <x v="48"/>
    <x v="8"/>
    <x v="4"/>
    <x v="4"/>
    <x v="1"/>
    <x v="11"/>
    <x v="5"/>
    <x v="1"/>
    <n v="70"/>
    <x v="5"/>
    <x v="0"/>
  </r>
  <r>
    <n v="67413"/>
    <x v="48"/>
    <x v="8"/>
    <x v="4"/>
    <x v="4"/>
    <x v="2"/>
    <x v="11"/>
    <x v="5"/>
    <x v="1"/>
    <n v="70"/>
    <x v="6"/>
    <x v="0"/>
  </r>
  <r>
    <n v="67414"/>
    <x v="48"/>
    <x v="8"/>
    <x v="5"/>
    <x v="5"/>
    <x v="2"/>
    <x v="11"/>
    <x v="5"/>
    <x v="1"/>
    <n v="70"/>
    <x v="7"/>
    <x v="0"/>
  </r>
  <r>
    <n v="67415"/>
    <x v="48"/>
    <x v="8"/>
    <x v="6"/>
    <x v="6"/>
    <x v="2"/>
    <x v="11"/>
    <x v="5"/>
    <x v="1"/>
    <n v="70"/>
    <x v="8"/>
    <x v="0"/>
  </r>
  <r>
    <n v="67416"/>
    <x v="48"/>
    <x v="8"/>
    <x v="1"/>
    <x v="1"/>
    <x v="1"/>
    <x v="11"/>
    <x v="5"/>
    <x v="1"/>
    <n v="70"/>
    <x v="1"/>
    <x v="0"/>
  </r>
  <r>
    <n v="67417"/>
    <x v="48"/>
    <x v="8"/>
    <x v="1"/>
    <x v="1"/>
    <x v="2"/>
    <x v="11"/>
    <x v="5"/>
    <x v="1"/>
    <n v="70"/>
    <x v="9"/>
    <x v="0"/>
  </r>
  <r>
    <n v="67418"/>
    <x v="48"/>
    <x v="6"/>
    <x v="0"/>
    <x v="0"/>
    <x v="3"/>
    <x v="11"/>
    <x v="5"/>
    <x v="1"/>
    <n v="70"/>
    <x v="10"/>
    <x v="0"/>
  </r>
  <r>
    <n v="67419"/>
    <x v="48"/>
    <x v="6"/>
    <x v="3"/>
    <x v="3"/>
    <x v="3"/>
    <x v="11"/>
    <x v="5"/>
    <x v="1"/>
    <n v="70"/>
    <x v="11"/>
    <x v="0"/>
  </r>
  <r>
    <n v="67420"/>
    <x v="48"/>
    <x v="8"/>
    <x v="7"/>
    <x v="7"/>
    <x v="1"/>
    <x v="11"/>
    <x v="5"/>
    <x v="1"/>
    <n v="70"/>
    <x v="12"/>
    <x v="0"/>
  </r>
  <r>
    <n v="67421"/>
    <x v="48"/>
    <x v="8"/>
    <x v="8"/>
    <x v="8"/>
    <x v="1"/>
    <x v="11"/>
    <x v="5"/>
    <x v="1"/>
    <n v="70"/>
    <x v="13"/>
    <x v="0"/>
  </r>
  <r>
    <n v="67422"/>
    <x v="48"/>
    <x v="8"/>
    <x v="9"/>
    <x v="9"/>
    <x v="2"/>
    <x v="11"/>
    <x v="5"/>
    <x v="1"/>
    <n v="70"/>
    <x v="14"/>
    <x v="0"/>
  </r>
  <r>
    <n v="67423"/>
    <x v="48"/>
    <x v="8"/>
    <x v="10"/>
    <x v="10"/>
    <x v="2"/>
    <x v="11"/>
    <x v="5"/>
    <x v="1"/>
    <n v="70"/>
    <x v="15"/>
    <x v="0"/>
  </r>
  <r>
    <n v="67424"/>
    <x v="48"/>
    <x v="8"/>
    <x v="11"/>
    <x v="11"/>
    <x v="2"/>
    <x v="11"/>
    <x v="5"/>
    <x v="1"/>
    <n v="70"/>
    <x v="16"/>
    <x v="0"/>
  </r>
  <r>
    <n v="67425"/>
    <x v="48"/>
    <x v="8"/>
    <x v="12"/>
    <x v="12"/>
    <x v="2"/>
    <x v="11"/>
    <x v="5"/>
    <x v="1"/>
    <n v="70"/>
    <x v="17"/>
    <x v="0"/>
  </r>
  <r>
    <n v="67426"/>
    <x v="48"/>
    <x v="6"/>
    <x v="0"/>
    <x v="0"/>
    <x v="0"/>
    <x v="11"/>
    <x v="5"/>
    <x v="1"/>
    <n v="70"/>
    <x v="0"/>
    <x v="0"/>
  </r>
  <r>
    <n v="67427"/>
    <x v="48"/>
    <x v="6"/>
    <x v="3"/>
    <x v="3"/>
    <x v="0"/>
    <x v="11"/>
    <x v="5"/>
    <x v="1"/>
    <n v="70"/>
    <x v="3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58">
  <r>
    <x v="0"/>
    <x v="0"/>
    <x v="0"/>
    <x v="0"/>
    <n v="81000"/>
    <n v="0.45"/>
    <n v="7.5687499999999996"/>
    <n v="0"/>
    <n v="0"/>
    <n v="8.0187500000000007"/>
    <n v="0"/>
    <n v="0"/>
    <n v="0"/>
    <n v="0"/>
    <n v="0"/>
    <n v="0"/>
    <m/>
    <m/>
  </r>
  <r>
    <x v="0"/>
    <x v="1"/>
    <x v="1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1"/>
    <x v="2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2"/>
    <x v="1"/>
    <x v="2"/>
    <n v="18000"/>
    <n v="0.1"/>
    <n v="1.6819444444444445"/>
    <n v="0"/>
    <n v="0"/>
    <n v="1.7819444444444446"/>
    <n v="0"/>
    <n v="0"/>
    <n v="0"/>
    <n v="0"/>
    <n v="0"/>
    <n v="0"/>
    <m/>
    <m/>
  </r>
  <r>
    <x v="0"/>
    <x v="2"/>
    <x v="3"/>
    <x v="3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2"/>
    <x v="4"/>
    <x v="4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3"/>
    <x v="1"/>
    <x v="5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3"/>
    <x v="5"/>
    <x v="6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4"/>
    <x v="1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4"/>
    <x v="6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5"/>
    <x v="1"/>
    <x v="8"/>
    <n v="18000"/>
    <n v="0.1"/>
    <n v="1.6819444444444445"/>
    <n v="0"/>
    <n v="0"/>
    <n v="1.7819444444444446"/>
    <n v="0"/>
    <n v="0"/>
    <n v="0"/>
    <n v="0"/>
    <n v="0"/>
    <n v="0"/>
    <m/>
    <m/>
  </r>
  <r>
    <x v="0"/>
    <x v="5"/>
    <x v="7"/>
    <x v="9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5"/>
    <x v="8"/>
    <x v="10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6"/>
    <x v="1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6"/>
    <x v="9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7"/>
    <x v="1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0"/>
    <x v="7"/>
    <x v="10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0"/>
    <x v="0"/>
    <x v="13"/>
    <n v="81000"/>
    <n v="0.45"/>
    <n v="7.5687499999999996"/>
    <n v="0"/>
    <n v="0"/>
    <n v="8.0187500000000007"/>
    <n v="0"/>
    <n v="0"/>
    <n v="0"/>
    <n v="0"/>
    <n v="0"/>
    <n v="0"/>
    <m/>
    <m/>
  </r>
  <r>
    <x v="1"/>
    <x v="2"/>
    <x v="1"/>
    <x v="2"/>
    <n v="18000"/>
    <n v="0.1"/>
    <n v="1.6819444444444445"/>
    <n v="0"/>
    <n v="0"/>
    <n v="1.7819444444444446"/>
    <n v="0"/>
    <n v="0"/>
    <n v="0"/>
    <n v="0"/>
    <n v="0"/>
    <n v="0"/>
    <m/>
    <m/>
  </r>
  <r>
    <x v="1"/>
    <x v="2"/>
    <x v="3"/>
    <x v="3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2"/>
    <x v="4"/>
    <x v="4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7"/>
    <x v="1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7"/>
    <x v="10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1"/>
    <x v="1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1"/>
    <x v="2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6"/>
    <x v="1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6"/>
    <x v="9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5"/>
    <x v="1"/>
    <x v="8"/>
    <n v="18000"/>
    <n v="0.1"/>
    <n v="1.6819444444444445"/>
    <n v="0"/>
    <n v="0"/>
    <n v="1.7819444444444446"/>
    <n v="0"/>
    <n v="0"/>
    <n v="0"/>
    <n v="0"/>
    <n v="0"/>
    <n v="0"/>
    <m/>
    <m/>
  </r>
  <r>
    <x v="1"/>
    <x v="5"/>
    <x v="7"/>
    <x v="9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5"/>
    <x v="8"/>
    <x v="10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4"/>
    <x v="1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4"/>
    <x v="6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3"/>
    <x v="1"/>
    <x v="5"/>
    <n v="9000"/>
    <n v="0.05"/>
    <n v="0.84097222222222223"/>
    <n v="0"/>
    <n v="0"/>
    <n v="0.89097222222222228"/>
    <n v="0"/>
    <n v="0"/>
    <n v="0"/>
    <n v="0"/>
    <n v="0"/>
    <n v="0"/>
    <m/>
    <m/>
  </r>
  <r>
    <x v="1"/>
    <x v="3"/>
    <x v="5"/>
    <x v="6"/>
    <n v="9000"/>
    <n v="0.05"/>
    <n v="0.84097222222222223"/>
    <n v="0"/>
    <n v="0"/>
    <n v="0.89097222222222228"/>
    <n v="0"/>
    <n v="0"/>
    <n v="0"/>
    <n v="0"/>
    <n v="0"/>
    <n v="0"/>
    <m/>
    <m/>
  </r>
  <r>
    <x v="2"/>
    <x v="0"/>
    <x v="0"/>
    <x v="14"/>
    <n v="108000"/>
    <n v="0.6"/>
    <n v="10.091666666666667"/>
    <n v="0.12916666666666668"/>
    <n v="0.22083333333333333"/>
    <n v="10.691666666666666"/>
    <n v="0.35"/>
    <n v="10763"/>
    <n v="2421"/>
    <n v="8342"/>
    <n v="0"/>
    <n v="10763"/>
    <m/>
    <m/>
  </r>
  <r>
    <x v="2"/>
    <x v="5"/>
    <x v="1"/>
    <x v="8"/>
    <n v="18000"/>
    <n v="0.1"/>
    <n v="1.6819444444444445"/>
    <n v="0"/>
    <n v="0"/>
    <n v="1.7819444444444446"/>
    <n v="0"/>
    <n v="0"/>
    <n v="0"/>
    <n v="0"/>
    <n v="0"/>
    <n v="0"/>
    <m/>
    <m/>
  </r>
  <r>
    <x v="2"/>
    <x v="5"/>
    <x v="7"/>
    <x v="9"/>
    <n v="9000"/>
    <n v="0.05"/>
    <n v="0.84097222222222223"/>
    <n v="0"/>
    <n v="0"/>
    <n v="0.89097222222222228"/>
    <n v="0"/>
    <n v="0"/>
    <n v="0"/>
    <n v="0"/>
    <n v="0"/>
    <n v="0"/>
    <m/>
    <m/>
  </r>
  <r>
    <x v="2"/>
    <x v="5"/>
    <x v="8"/>
    <x v="10"/>
    <n v="9000"/>
    <n v="0.05"/>
    <n v="0.84097222222222223"/>
    <n v="0"/>
    <n v="0"/>
    <n v="0.89097222222222228"/>
    <n v="0"/>
    <n v="0"/>
    <n v="0"/>
    <n v="0"/>
    <n v="0"/>
    <n v="0"/>
    <m/>
    <m/>
  </r>
  <r>
    <x v="2"/>
    <x v="2"/>
    <x v="1"/>
    <x v="2"/>
    <n v="18000"/>
    <n v="0.1"/>
    <n v="1.6819444444444445"/>
    <n v="0"/>
    <n v="0"/>
    <n v="1.7819444444444446"/>
    <n v="0"/>
    <n v="0"/>
    <n v="0"/>
    <n v="0"/>
    <n v="0"/>
    <n v="0"/>
    <m/>
    <m/>
  </r>
  <r>
    <x v="2"/>
    <x v="2"/>
    <x v="3"/>
    <x v="3"/>
    <n v="9000"/>
    <n v="0.05"/>
    <n v="0.84097222222222223"/>
    <n v="0"/>
    <n v="0"/>
    <n v="0.89097222222222228"/>
    <n v="0"/>
    <n v="0"/>
    <n v="0"/>
    <n v="0"/>
    <n v="0"/>
    <n v="0"/>
    <m/>
    <m/>
  </r>
  <r>
    <x v="2"/>
    <x v="2"/>
    <x v="4"/>
    <x v="4"/>
    <n v="9000"/>
    <n v="0.05"/>
    <n v="0.84097222222222223"/>
    <n v="0"/>
    <n v="0"/>
    <n v="0.89097222222222228"/>
    <n v="0"/>
    <n v="0"/>
    <n v="0"/>
    <n v="0"/>
    <n v="0"/>
    <n v="0"/>
    <m/>
    <m/>
  </r>
  <r>
    <x v="2"/>
    <x v="6"/>
    <x v="1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2"/>
    <x v="6"/>
    <x v="9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2"/>
    <x v="7"/>
    <x v="1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2"/>
    <x v="7"/>
    <x v="10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2"/>
    <x v="1"/>
    <x v="1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2"/>
    <x v="1"/>
    <x v="2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2"/>
    <x v="3"/>
    <x v="1"/>
    <x v="5"/>
    <n v="36000"/>
    <n v="0.2"/>
    <n v="3.3638888888888889"/>
    <n v="0.12916666666666668"/>
    <n v="0.22083333333333333"/>
    <n v="3.5638888888888891"/>
    <n v="0.35"/>
    <n v="10763"/>
    <n v="2421"/>
    <n v="8342"/>
    <n v="0"/>
    <n v="10763"/>
    <m/>
    <m/>
  </r>
  <r>
    <x v="2"/>
    <x v="3"/>
    <x v="5"/>
    <x v="6"/>
    <n v="9000"/>
    <n v="0.05"/>
    <n v="0.84097222222222223"/>
    <n v="7.9166666666666663E-2"/>
    <n v="0"/>
    <n v="0.89097222222222228"/>
    <n v="7.9166666666666663E-2"/>
    <n v="1209"/>
    <n v="1209"/>
    <n v="0"/>
    <n v="0"/>
    <n v="1209"/>
    <m/>
    <m/>
  </r>
  <r>
    <x v="2"/>
    <x v="3"/>
    <x v="5"/>
    <x v="6"/>
    <n v="9000"/>
    <n v="0.05"/>
    <n v="0.84097222222222223"/>
    <n v="0"/>
    <n v="0.10694444444444444"/>
    <n v="0.89097222222222228"/>
    <n v="0.10694444444444444"/>
    <n v="2342"/>
    <n v="0"/>
    <n v="2342"/>
    <n v="0"/>
    <n v="2342"/>
    <m/>
    <m/>
  </r>
  <r>
    <x v="2"/>
    <x v="3"/>
    <x v="5"/>
    <x v="6"/>
    <n v="9000"/>
    <n v="0.05"/>
    <n v="0.84097222222222223"/>
    <n v="0"/>
    <n v="0.11388888888888889"/>
    <n v="0.89097222222222228"/>
    <n v="0.11388888888888889"/>
    <n v="6000"/>
    <n v="0"/>
    <n v="6000"/>
    <n v="0"/>
    <n v="6000"/>
    <m/>
    <m/>
  </r>
  <r>
    <x v="2"/>
    <x v="3"/>
    <x v="5"/>
    <x v="6"/>
    <n v="9000"/>
    <n v="0.05"/>
    <n v="0.84097222222222223"/>
    <n v="0.05"/>
    <n v="0"/>
    <n v="0.89097222222222228"/>
    <n v="0.05"/>
    <n v="1212"/>
    <n v="1212"/>
    <n v="0"/>
    <n v="0"/>
    <n v="1212"/>
    <m/>
    <m/>
  </r>
  <r>
    <x v="2"/>
    <x v="4"/>
    <x v="1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2"/>
    <x v="4"/>
    <x v="6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0"/>
    <x v="0"/>
    <x v="15"/>
    <n v="81000"/>
    <n v="0.45"/>
    <n v="7.5687499999999996"/>
    <n v="0"/>
    <n v="0"/>
    <n v="8.0187500000000007"/>
    <n v="0"/>
    <n v="0"/>
    <n v="0"/>
    <n v="0"/>
    <n v="0"/>
    <n v="0"/>
    <m/>
    <m/>
  </r>
  <r>
    <x v="3"/>
    <x v="3"/>
    <x v="1"/>
    <x v="5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3"/>
    <x v="5"/>
    <x v="6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4"/>
    <x v="1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4"/>
    <x v="6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5"/>
    <x v="1"/>
    <x v="8"/>
    <n v="18000"/>
    <n v="0.1"/>
    <n v="1.6819444444444445"/>
    <n v="0"/>
    <n v="0"/>
    <n v="1.7819444444444446"/>
    <n v="0"/>
    <n v="0"/>
    <n v="0"/>
    <n v="0"/>
    <n v="0"/>
    <n v="0"/>
    <m/>
    <m/>
  </r>
  <r>
    <x v="3"/>
    <x v="5"/>
    <x v="7"/>
    <x v="9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5"/>
    <x v="8"/>
    <x v="10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1"/>
    <x v="1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1"/>
    <x v="2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7"/>
    <x v="1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7"/>
    <x v="10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2"/>
    <x v="1"/>
    <x v="2"/>
    <n v="18000"/>
    <n v="0.1"/>
    <n v="1.6819444444444445"/>
    <n v="0"/>
    <n v="0"/>
    <n v="1.7819444444444446"/>
    <n v="0"/>
    <n v="0"/>
    <n v="0"/>
    <n v="0"/>
    <n v="0"/>
    <n v="0"/>
    <m/>
    <m/>
  </r>
  <r>
    <x v="3"/>
    <x v="2"/>
    <x v="3"/>
    <x v="3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2"/>
    <x v="4"/>
    <x v="4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6"/>
    <x v="1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3"/>
    <x v="6"/>
    <x v="9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4"/>
    <x v="0"/>
    <x v="0"/>
    <x v="16"/>
    <n v="90000"/>
    <n v="0.5"/>
    <n v="8.4097222222222214"/>
    <n v="5.7638888888888892E-2"/>
    <n v="0.4777777777777778"/>
    <n v="8.9097222222222214"/>
    <n v="0.53541666666666665"/>
    <n v="9977"/>
    <n v="2323"/>
    <n v="7654"/>
    <n v="0"/>
    <n v="9977"/>
    <m/>
    <m/>
  </r>
  <r>
    <x v="4"/>
    <x v="7"/>
    <x v="1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4"/>
    <x v="7"/>
    <x v="10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4"/>
    <x v="5"/>
    <x v="1"/>
    <x v="8"/>
    <n v="18000"/>
    <n v="0.1"/>
    <n v="1.6819444444444445"/>
    <n v="0"/>
    <n v="0.30277777777777776"/>
    <n v="1.7819444444444446"/>
    <n v="0.30277777777777776"/>
    <n v="4654"/>
    <n v="0"/>
    <n v="4654"/>
    <n v="0"/>
    <n v="4654"/>
    <m/>
    <m/>
  </r>
  <r>
    <x v="4"/>
    <x v="5"/>
    <x v="7"/>
    <x v="9"/>
    <n v="9000"/>
    <n v="0.05"/>
    <n v="0.84097222222222223"/>
    <n v="0"/>
    <n v="0.16180555555555556"/>
    <n v="0.89097222222222228"/>
    <n v="0.16180555555555556"/>
    <n v="3422"/>
    <n v="0"/>
    <n v="3422"/>
    <n v="0"/>
    <n v="3422"/>
    <m/>
    <m/>
  </r>
  <r>
    <x v="4"/>
    <x v="5"/>
    <x v="8"/>
    <x v="10"/>
    <n v="9000"/>
    <n v="0.05"/>
    <n v="0.84097222222222223"/>
    <n v="0"/>
    <n v="0.14097222222222222"/>
    <n v="0.89097222222222228"/>
    <n v="0.14097222222222222"/>
    <n v="1232"/>
    <n v="0"/>
    <n v="1232"/>
    <n v="0"/>
    <n v="1232"/>
    <m/>
    <m/>
  </r>
  <r>
    <x v="4"/>
    <x v="1"/>
    <x v="1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4"/>
    <x v="1"/>
    <x v="2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4"/>
    <x v="2"/>
    <x v="1"/>
    <x v="2"/>
    <n v="18000"/>
    <n v="0.1"/>
    <n v="1.6819444444444445"/>
    <n v="0"/>
    <n v="0"/>
    <n v="1.7819444444444446"/>
    <n v="0"/>
    <n v="0"/>
    <n v="0"/>
    <n v="0"/>
    <n v="0"/>
    <n v="0"/>
    <m/>
    <m/>
  </r>
  <r>
    <x v="4"/>
    <x v="2"/>
    <x v="3"/>
    <x v="3"/>
    <n v="9000"/>
    <n v="0.05"/>
    <n v="0.84097222222222223"/>
    <n v="0"/>
    <n v="0"/>
    <n v="0.89097222222222228"/>
    <n v="0"/>
    <n v="0"/>
    <n v="0"/>
    <n v="0"/>
    <n v="0"/>
    <n v="0"/>
    <m/>
    <m/>
  </r>
  <r>
    <x v="4"/>
    <x v="2"/>
    <x v="4"/>
    <x v="4"/>
    <n v="9000"/>
    <n v="0.05"/>
    <n v="0.84097222222222223"/>
    <n v="0"/>
    <n v="0"/>
    <n v="0.89097222222222228"/>
    <n v="0"/>
    <n v="0"/>
    <n v="0"/>
    <n v="0"/>
    <n v="0"/>
    <n v="0"/>
    <m/>
    <m/>
  </r>
  <r>
    <x v="4"/>
    <x v="4"/>
    <x v="1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4"/>
    <x v="4"/>
    <x v="6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4"/>
    <x v="6"/>
    <x v="1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4"/>
    <x v="6"/>
    <x v="9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4"/>
    <x v="3"/>
    <x v="1"/>
    <x v="5"/>
    <n v="18000"/>
    <n v="0.1"/>
    <n v="1.6819444444444445"/>
    <n v="5.7638888888888892E-2"/>
    <n v="0.17499999999999999"/>
    <n v="1.7819444444444446"/>
    <n v="0.2326388888888889"/>
    <n v="5323"/>
    <n v="2323"/>
    <n v="3000"/>
    <n v="0"/>
    <n v="5323"/>
    <m/>
    <m/>
  </r>
  <r>
    <x v="4"/>
    <x v="3"/>
    <x v="5"/>
    <x v="6"/>
    <n v="9000"/>
    <n v="0.05"/>
    <n v="0.84097222222222223"/>
    <n v="0"/>
    <n v="0.17499999999999999"/>
    <n v="0.89097222222222228"/>
    <n v="0.17499999999999999"/>
    <n v="3000"/>
    <n v="0"/>
    <n v="3000"/>
    <n v="0"/>
    <n v="3000"/>
    <m/>
    <m/>
  </r>
  <r>
    <x v="4"/>
    <x v="3"/>
    <x v="5"/>
    <x v="6"/>
    <n v="9000"/>
    <n v="0.05"/>
    <n v="0.84097222222222223"/>
    <n v="5.7638888888888892E-2"/>
    <n v="0"/>
    <n v="0.89097222222222228"/>
    <n v="5.7638888888888892E-2"/>
    <n v="2323"/>
    <n v="2323"/>
    <n v="0"/>
    <n v="0"/>
    <n v="2323"/>
    <m/>
    <m/>
  </r>
  <r>
    <x v="5"/>
    <x v="0"/>
    <x v="0"/>
    <x v="17"/>
    <n v="90000"/>
    <n v="0.5"/>
    <n v="8.4097222222222214"/>
    <n v="0.14166666666666666"/>
    <n v="0.40208333333333335"/>
    <n v="8.9097222222222214"/>
    <n v="0.54374999999999996"/>
    <n v="9008"/>
    <n v="2342"/>
    <n v="6666"/>
    <n v="0"/>
    <n v="9008"/>
    <m/>
    <m/>
  </r>
  <r>
    <x v="5"/>
    <x v="6"/>
    <x v="1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5"/>
    <x v="6"/>
    <x v="9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5"/>
    <x v="1"/>
    <x v="1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5"/>
    <x v="1"/>
    <x v="2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5"/>
    <x v="7"/>
    <x v="1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5"/>
    <x v="7"/>
    <x v="10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5"/>
    <x v="5"/>
    <x v="1"/>
    <x v="8"/>
    <n v="27000"/>
    <n v="0.15"/>
    <n v="2.5229166666666667"/>
    <n v="0.14166666666666666"/>
    <n v="0.25416666666666665"/>
    <n v="2.6729166666666666"/>
    <n v="0.39583333333333331"/>
    <n v="6666"/>
    <n v="2342"/>
    <n v="4324"/>
    <n v="0"/>
    <n v="6666"/>
    <m/>
    <m/>
  </r>
  <r>
    <x v="5"/>
    <x v="5"/>
    <x v="7"/>
    <x v="9"/>
    <n v="9000"/>
    <n v="0.05"/>
    <n v="0.84097222222222223"/>
    <n v="0"/>
    <n v="0.11388888888888889"/>
    <n v="0.89097222222222228"/>
    <n v="0.11388888888888889"/>
    <n v="2000"/>
    <n v="0"/>
    <n v="2000"/>
    <n v="0"/>
    <n v="2000"/>
    <m/>
    <m/>
  </r>
  <r>
    <x v="5"/>
    <x v="5"/>
    <x v="8"/>
    <x v="10"/>
    <n v="9000"/>
    <n v="0.05"/>
    <n v="0.84097222222222223"/>
    <n v="0"/>
    <n v="0.14027777777777778"/>
    <n v="0.89097222222222228"/>
    <n v="0.14027777777777778"/>
    <n v="2324"/>
    <n v="0"/>
    <n v="2324"/>
    <n v="0"/>
    <n v="2324"/>
    <m/>
    <m/>
  </r>
  <r>
    <x v="5"/>
    <x v="5"/>
    <x v="8"/>
    <x v="10"/>
    <n v="9000"/>
    <n v="0.05"/>
    <n v="0.84097222222222223"/>
    <n v="0.14166666666666666"/>
    <n v="0"/>
    <n v="0.89097222222222228"/>
    <n v="0.14166666666666666"/>
    <n v="2342"/>
    <n v="2342"/>
    <n v="0"/>
    <n v="0"/>
    <n v="2342"/>
    <m/>
    <m/>
  </r>
  <r>
    <x v="5"/>
    <x v="3"/>
    <x v="1"/>
    <x v="5"/>
    <n v="9000"/>
    <n v="0.05"/>
    <n v="0.84097222222222223"/>
    <n v="0"/>
    <n v="0.14791666666666667"/>
    <n v="0.89097222222222228"/>
    <n v="0.14791666666666667"/>
    <n v="2342"/>
    <n v="0"/>
    <n v="2342"/>
    <n v="0"/>
    <n v="2342"/>
    <m/>
    <m/>
  </r>
  <r>
    <x v="5"/>
    <x v="3"/>
    <x v="5"/>
    <x v="6"/>
    <n v="9000"/>
    <n v="0.05"/>
    <n v="0.84097222222222223"/>
    <n v="0"/>
    <n v="0.14791666666666667"/>
    <n v="0.89097222222222228"/>
    <n v="0.14791666666666667"/>
    <n v="2342"/>
    <n v="0"/>
    <n v="2342"/>
    <n v="0"/>
    <n v="2342"/>
    <m/>
    <m/>
  </r>
  <r>
    <x v="5"/>
    <x v="4"/>
    <x v="1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5"/>
    <x v="4"/>
    <x v="6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5"/>
    <x v="2"/>
    <x v="1"/>
    <x v="2"/>
    <n v="18000"/>
    <n v="0.1"/>
    <n v="1.6819444444444445"/>
    <n v="0"/>
    <n v="0"/>
    <n v="1.7819444444444446"/>
    <n v="0"/>
    <n v="0"/>
    <n v="0"/>
    <n v="0"/>
    <n v="0"/>
    <n v="0"/>
    <m/>
    <m/>
  </r>
  <r>
    <x v="5"/>
    <x v="2"/>
    <x v="3"/>
    <x v="3"/>
    <n v="9000"/>
    <n v="0.05"/>
    <n v="0.84097222222222223"/>
    <n v="0"/>
    <n v="0"/>
    <n v="0.89097222222222228"/>
    <n v="0"/>
    <n v="0"/>
    <n v="0"/>
    <n v="0"/>
    <n v="0"/>
    <n v="0"/>
    <m/>
    <m/>
  </r>
  <r>
    <x v="5"/>
    <x v="2"/>
    <x v="4"/>
    <x v="4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0"/>
    <x v="0"/>
    <x v="18"/>
    <n v="81000"/>
    <n v="0.45"/>
    <n v="7.5687499999999996"/>
    <n v="0"/>
    <n v="0"/>
    <n v="8.0187500000000007"/>
    <n v="0"/>
    <n v="0"/>
    <n v="0"/>
    <n v="0"/>
    <n v="0"/>
    <n v="0"/>
    <m/>
    <m/>
  </r>
  <r>
    <x v="6"/>
    <x v="7"/>
    <x v="1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7"/>
    <x v="10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2"/>
    <x v="1"/>
    <x v="2"/>
    <n v="18000"/>
    <n v="0.1"/>
    <n v="1.6819444444444445"/>
    <n v="0"/>
    <n v="0"/>
    <n v="1.7819444444444446"/>
    <n v="0"/>
    <n v="0"/>
    <n v="0"/>
    <n v="0"/>
    <n v="0"/>
    <n v="0"/>
    <m/>
    <m/>
  </r>
  <r>
    <x v="6"/>
    <x v="2"/>
    <x v="3"/>
    <x v="3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2"/>
    <x v="4"/>
    <x v="4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4"/>
    <x v="1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4"/>
    <x v="6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3"/>
    <x v="1"/>
    <x v="5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3"/>
    <x v="5"/>
    <x v="6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1"/>
    <x v="1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1"/>
    <x v="2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6"/>
    <x v="1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6"/>
    <x v="9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5"/>
    <x v="1"/>
    <x v="8"/>
    <n v="18000"/>
    <n v="0.1"/>
    <n v="1.6819444444444445"/>
    <n v="0"/>
    <n v="0"/>
    <n v="1.7819444444444446"/>
    <n v="0"/>
    <n v="0"/>
    <n v="0"/>
    <n v="0"/>
    <n v="0"/>
    <n v="0"/>
    <m/>
    <m/>
  </r>
  <r>
    <x v="6"/>
    <x v="5"/>
    <x v="7"/>
    <x v="9"/>
    <n v="9000"/>
    <n v="0.05"/>
    <n v="0.84097222222222223"/>
    <n v="0"/>
    <n v="0"/>
    <n v="0.89097222222222228"/>
    <n v="0"/>
    <n v="0"/>
    <n v="0"/>
    <n v="0"/>
    <n v="0"/>
    <n v="0"/>
    <m/>
    <m/>
  </r>
  <r>
    <x v="6"/>
    <x v="5"/>
    <x v="8"/>
    <x v="10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0"/>
    <x v="0"/>
    <x v="19"/>
    <n v="81000"/>
    <n v="0.45"/>
    <n v="7.5687499999999996"/>
    <n v="0"/>
    <n v="0.11458333333333333"/>
    <n v="8.0187500000000007"/>
    <n v="0.11458333333333333"/>
    <n v="3221"/>
    <n v="0"/>
    <n v="3221"/>
    <n v="0"/>
    <n v="3221"/>
    <m/>
    <m/>
  </r>
  <r>
    <x v="7"/>
    <x v="2"/>
    <x v="1"/>
    <x v="2"/>
    <n v="18000"/>
    <n v="0.1"/>
    <n v="1.6819444444444445"/>
    <n v="0"/>
    <n v="0"/>
    <n v="1.7819444444444446"/>
    <n v="0"/>
    <n v="0"/>
    <n v="0"/>
    <n v="0"/>
    <n v="0"/>
    <n v="0"/>
    <m/>
    <m/>
  </r>
  <r>
    <x v="7"/>
    <x v="2"/>
    <x v="3"/>
    <x v="3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2"/>
    <x v="4"/>
    <x v="4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1"/>
    <x v="1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1"/>
    <x v="2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4"/>
    <x v="1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4"/>
    <x v="6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3"/>
    <x v="1"/>
    <x v="5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3"/>
    <x v="5"/>
    <x v="6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6"/>
    <x v="1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6"/>
    <x v="9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7"/>
    <x v="1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7"/>
    <x v="10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7"/>
    <x v="5"/>
    <x v="1"/>
    <x v="8"/>
    <n v="18000"/>
    <n v="0.1"/>
    <n v="1.6819444444444445"/>
    <n v="0"/>
    <n v="0.11458333333333333"/>
    <n v="1.7819444444444446"/>
    <n v="0.11458333333333333"/>
    <n v="3221"/>
    <n v="0"/>
    <n v="3221"/>
    <n v="0"/>
    <n v="3221"/>
    <m/>
    <m/>
  </r>
  <r>
    <x v="7"/>
    <x v="5"/>
    <x v="7"/>
    <x v="9"/>
    <n v="9000"/>
    <n v="0.05"/>
    <n v="0.84097222222222223"/>
    <n v="0"/>
    <n v="0.11458333333333333"/>
    <n v="0.89097222222222228"/>
    <n v="0.11458333333333333"/>
    <n v="3221"/>
    <n v="0"/>
    <n v="3221"/>
    <n v="0"/>
    <n v="3221"/>
    <m/>
    <m/>
  </r>
  <r>
    <x v="7"/>
    <x v="5"/>
    <x v="8"/>
    <x v="10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0"/>
    <x v="0"/>
    <x v="20"/>
    <n v="81000"/>
    <n v="0.45"/>
    <n v="7.5687499999999996"/>
    <n v="0"/>
    <n v="0"/>
    <n v="8.0187500000000007"/>
    <n v="0"/>
    <n v="0"/>
    <n v="0"/>
    <n v="0"/>
    <n v="0"/>
    <n v="0"/>
    <m/>
    <m/>
  </r>
  <r>
    <x v="8"/>
    <x v="2"/>
    <x v="1"/>
    <x v="2"/>
    <n v="18000"/>
    <n v="0.1"/>
    <n v="1.6819444444444445"/>
    <n v="0"/>
    <n v="0"/>
    <n v="1.7819444444444446"/>
    <n v="0"/>
    <n v="0"/>
    <n v="0"/>
    <n v="0"/>
    <n v="0"/>
    <n v="0"/>
    <m/>
    <m/>
  </r>
  <r>
    <x v="8"/>
    <x v="2"/>
    <x v="3"/>
    <x v="3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2"/>
    <x v="4"/>
    <x v="4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5"/>
    <x v="1"/>
    <x v="8"/>
    <n v="18000"/>
    <n v="0.1"/>
    <n v="1.6819444444444445"/>
    <n v="0"/>
    <n v="0"/>
    <n v="1.7819444444444446"/>
    <n v="0"/>
    <n v="0"/>
    <n v="0"/>
    <n v="0"/>
    <n v="0"/>
    <n v="0"/>
    <m/>
    <m/>
  </r>
  <r>
    <x v="8"/>
    <x v="5"/>
    <x v="7"/>
    <x v="9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5"/>
    <x v="8"/>
    <x v="10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6"/>
    <x v="1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6"/>
    <x v="9"/>
    <x v="11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4"/>
    <x v="1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4"/>
    <x v="6"/>
    <x v="7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7"/>
    <x v="1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7"/>
    <x v="10"/>
    <x v="12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1"/>
    <x v="1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1"/>
    <x v="2"/>
    <x v="1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3"/>
    <x v="1"/>
    <x v="5"/>
    <n v="9000"/>
    <n v="0.05"/>
    <n v="0.84097222222222223"/>
    <n v="0"/>
    <n v="0"/>
    <n v="0.89097222222222228"/>
    <n v="0"/>
    <n v="0"/>
    <n v="0"/>
    <n v="0"/>
    <n v="0"/>
    <n v="0"/>
    <m/>
    <m/>
  </r>
  <r>
    <x v="8"/>
    <x v="3"/>
    <x v="5"/>
    <x v="6"/>
    <n v="9000"/>
    <n v="0.05"/>
    <n v="0.84097222222222223"/>
    <n v="0"/>
    <n v="0"/>
    <n v="0.89097222222222228"/>
    <n v="0"/>
    <n v="0"/>
    <n v="0"/>
    <n v="0"/>
    <n v="0"/>
    <n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nxt_pv_table" cacheId="1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9:AC84" firstHeaderRow="1" firstDataRow="4" firstDataCol="1"/>
  <pivotFields count="13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6"/>
        <item x="9"/>
        <item x="25"/>
        <item x="39"/>
        <item x="34"/>
        <item x="31"/>
        <item x="32"/>
        <item x="6"/>
        <item x="5"/>
        <item x="30"/>
        <item x="29"/>
        <item x="4"/>
        <item x="16"/>
        <item x="19"/>
        <item x="42"/>
        <item x="40"/>
        <item x="41"/>
        <item x="10"/>
        <item x="33"/>
        <item x="11"/>
        <item x="22"/>
        <item x="17"/>
        <item x="18"/>
        <item x="1"/>
        <item x="7"/>
        <item x="23"/>
        <item x="44"/>
        <item x="45"/>
        <item x="26"/>
        <item x="27"/>
        <item x="46"/>
        <item x="47"/>
        <item x="24"/>
        <item x="20"/>
        <item x="8"/>
        <item x="13"/>
        <item x="43"/>
        <item x="28"/>
        <item x="21"/>
        <item x="15"/>
        <item x="14"/>
        <item x="12"/>
        <item x="37"/>
        <item x="38"/>
        <item x="35"/>
        <item x="3"/>
        <item x="0"/>
        <item x="48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4">
        <item x="10"/>
        <item sd="0" x="0"/>
        <item sd="0" x="3"/>
        <item x="11"/>
        <item x="1"/>
        <item x="4"/>
        <item x="8"/>
        <item x="12"/>
        <item x="7"/>
        <item x="5"/>
        <item x="2"/>
        <item x="9"/>
        <item m="1" x="13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5">
        <item x="12"/>
        <item x="2"/>
        <item n="(blank)" m="1" x="13"/>
        <item x="0"/>
        <item x="3"/>
        <item x="1"/>
        <item x="7"/>
        <item x="8"/>
        <item x="4"/>
        <item x="9"/>
        <item x="10"/>
        <item x="11"/>
        <item x="5"/>
        <item m="1" x="1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6">
        <item x="3"/>
        <item x="1"/>
        <item x="2"/>
        <item x="0"/>
        <item m="1" x="4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2"/>
        <item x="1"/>
        <item x="8"/>
        <item x="4"/>
        <item x="6"/>
        <item x="9"/>
        <item x="5"/>
        <item x="3"/>
        <item x="11"/>
        <item x="7"/>
        <item x="10"/>
        <item x="0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1"/>
        <item x="5"/>
        <item sd="0" m="1" x="6"/>
        <item x="0"/>
        <item x="3"/>
        <item x="4"/>
        <item x="2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5">
        <item x="0"/>
        <item n="DM nhờn" m="1" x="2"/>
        <item n="DM nhờn2" x="1"/>
        <item m="1"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2">
    <i>
      <x/>
    </i>
    <i r="1">
      <x v="3"/>
    </i>
    <i r="2">
      <x v="11"/>
    </i>
    <i r="3">
      <x v="45"/>
    </i>
    <i r="3">
      <x v="46"/>
    </i>
    <i r="1">
      <x v="4"/>
    </i>
    <i r="2">
      <x v="7"/>
    </i>
    <i r="3">
      <x v="11"/>
    </i>
    <i r="1">
      <x v="5"/>
    </i>
    <i r="2">
      <x v="3"/>
    </i>
    <i r="3">
      <x v="8"/>
    </i>
    <i r="3">
      <x v="48"/>
    </i>
    <i r="1">
      <x v="6"/>
    </i>
    <i r="2">
      <x/>
    </i>
    <i r="3">
      <x v="7"/>
    </i>
    <i r="3">
      <x v="8"/>
    </i>
    <i r="3">
      <x v="48"/>
    </i>
    <i>
      <x v="2"/>
    </i>
    <i r="1">
      <x/>
    </i>
    <i r="2">
      <x v="1"/>
    </i>
    <i r="3">
      <x v="1"/>
    </i>
    <i r="3">
      <x v="17"/>
    </i>
    <i r="3">
      <x v="19"/>
    </i>
    <i r="3">
      <x v="23"/>
    </i>
    <i r="3">
      <x v="24"/>
    </i>
    <i r="3">
      <x v="34"/>
    </i>
    <i r="3">
      <x v="35"/>
    </i>
    <i r="3">
      <x v="39"/>
    </i>
    <i r="3">
      <x v="40"/>
    </i>
    <i r="3">
      <x v="41"/>
    </i>
    <i r="2">
      <x v="4"/>
    </i>
    <i r="3">
      <x v="20"/>
    </i>
    <i r="3">
      <x v="38"/>
    </i>
    <i r="2">
      <x v="6"/>
    </i>
    <i r="3">
      <x v="12"/>
    </i>
    <i r="3">
      <x v="13"/>
    </i>
    <i r="3">
      <x v="21"/>
    </i>
    <i r="3">
      <x v="22"/>
    </i>
    <i r="3">
      <x v="33"/>
    </i>
    <i r="2">
      <x v="9"/>
    </i>
    <i r="3">
      <x v="2"/>
    </i>
    <i r="3">
      <x v="25"/>
    </i>
    <i r="3">
      <x v="28"/>
    </i>
    <i r="3">
      <x v="29"/>
    </i>
    <i r="3">
      <x v="32"/>
    </i>
    <i r="3">
      <x v="37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8"/>
    </i>
    <i r="2">
      <x v="4"/>
    </i>
    <i r="3">
      <x/>
    </i>
    <i r="3">
      <x v="3"/>
    </i>
    <i r="3">
      <x v="14"/>
    </i>
    <i r="3">
      <x v="15"/>
    </i>
    <i r="3">
      <x v="16"/>
    </i>
    <i r="3">
      <x v="36"/>
    </i>
    <i r="3">
      <x v="42"/>
    </i>
    <i r="3">
      <x v="43"/>
    </i>
    <i r="3">
      <x v="44"/>
    </i>
    <i r="2">
      <x v="5"/>
    </i>
    <i r="3">
      <x v="4"/>
    </i>
    <i r="2">
      <x v="8"/>
    </i>
    <i r="3">
      <x v="47"/>
    </i>
    <i r="2">
      <x v="10"/>
    </i>
    <i r="3">
      <x v="26"/>
    </i>
    <i r="3">
      <x v="27"/>
    </i>
    <i r="3">
      <x v="30"/>
    </i>
    <i r="3">
      <x v="31"/>
    </i>
  </rowItems>
  <colFields count="3">
    <field x="5"/>
    <field x="4"/>
    <field x="3"/>
  </colFields>
  <colItems count="22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t="sum">
      <x v="1"/>
    </i>
    <i>
      <x v="2"/>
      <x/>
      <x v="7"/>
    </i>
    <i r="1">
      <x v="1"/>
      <x v="10"/>
    </i>
    <i r="1">
      <x v="5"/>
      <x v="4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r="1">
      <x v="14"/>
      <x v="13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136">
    <format dxfId="1641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640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639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638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637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636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635">
      <pivotArea dataOnly="0" labelOnly="1" fieldPosition="0">
        <references count="1">
          <reference field="5" count="0"/>
        </references>
      </pivotArea>
    </format>
    <format dxfId="1634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633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1632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631">
      <pivotArea dataOnly="0" labelOnly="1" fieldPosition="0">
        <references count="1">
          <reference field="5" count="0"/>
        </references>
      </pivotArea>
    </format>
    <format dxfId="1630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629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628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627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626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625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624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623">
      <pivotArea dataOnly="0" labelOnly="1" fieldPosition="0">
        <references count="1">
          <reference field="6" count="0"/>
        </references>
      </pivotArea>
    </format>
    <format dxfId="1622">
      <pivotArea dataOnly="0" labelOnly="1" fieldPosition="0">
        <references count="1">
          <reference field="8" count="1">
            <x v="0"/>
          </reference>
        </references>
      </pivotArea>
    </format>
    <format dxfId="1621">
      <pivotArea dataOnly="0" labelOnly="1" fieldPosition="0">
        <references count="1">
          <reference field="8" count="1">
            <x v="2"/>
          </reference>
        </references>
      </pivotArea>
    </format>
    <format dxfId="1620">
      <pivotArea outline="0" collapsedLevelsAreSubtotals="1" fieldPosition="0"/>
    </format>
    <format dxfId="1619">
      <pivotArea outline="0" collapsedLevelsAreSubtotals="1" fieldPosition="0"/>
    </format>
    <format dxfId="1618">
      <pivotArea collapsedLevelsAreSubtotals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617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616">
      <pivotArea collapsedLevelsAreSubtotals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615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614">
      <pivotArea collapsedLevelsAreSubtotals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61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612">
      <pivotArea collapsedLevelsAreSubtotals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611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610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609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608">
      <pivotArea collapsedLevelsAreSubtotals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607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606">
      <pivotArea collapsedLevelsAreSubtotals="1" fieldPosition="0">
        <references count="1">
          <reference field="8" count="1">
            <x v="2"/>
          </reference>
        </references>
      </pivotArea>
    </format>
    <format dxfId="1605">
      <pivotArea dataOnly="0" labelOnly="1" fieldPosition="0">
        <references count="1">
          <reference field="8" count="1">
            <x v="2"/>
          </reference>
        </references>
      </pivotArea>
    </format>
    <format dxfId="1604">
      <pivotArea collapsedLevelsAreSubtotals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603">
      <pivotArea dataOnly="0" labelOnly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602">
      <pivotArea collapsedLevelsAreSubtotals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601">
      <pivotArea dataOnly="0" labelOnly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600">
      <pivotArea collapsedLevelsAreSubtotals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599">
      <pivotArea dataOnly="0" labelOnly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598">
      <pivotArea collapsedLevelsAreSubtotals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597">
      <pivotArea dataOnly="0" labelOnly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596">
      <pivotArea collapsedLevelsAreSubtotals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595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594">
      <pivotArea collapsedLevelsAreSubtotals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593">
      <pivotArea dataOnly="0" labelOnly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592">
      <pivotArea collapsedLevelsAreSubtotals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591">
      <pivotArea dataOnly="0" labelOnly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590">
      <pivotArea collapsedLevelsAreSubtotals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589">
      <pivotArea dataOnly="0" labelOnly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588">
      <pivotArea collapsedLevelsAreSubtotals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587">
      <pivotArea dataOnly="0" labelOnly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586">
      <pivotArea collapsedLevelsAreSubtotals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585">
      <pivotArea dataOnly="0" labelOnly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584">
      <pivotArea outline="0" collapsedLevelsAreSubtotals="1" fieldPosition="0"/>
    </format>
    <format dxfId="1583">
      <pivotArea dataOnly="0" labelOnly="1" fieldPosition="0">
        <references count="1">
          <reference field="8" count="0"/>
        </references>
      </pivotArea>
    </format>
    <format dxfId="1582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1581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1580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579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578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577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576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575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574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573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572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571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570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569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568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567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566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565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564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563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562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561">
      <pivotArea type="all" dataOnly="0" outline="0" fieldPosition="0"/>
    </format>
    <format dxfId="1560">
      <pivotArea outline="0" collapsedLevelsAreSubtotals="1" fieldPosition="0"/>
    </format>
    <format dxfId="1559">
      <pivotArea type="origin" dataOnly="0" labelOnly="1" outline="0" fieldPosition="0"/>
    </format>
    <format dxfId="1558">
      <pivotArea field="5" type="button" dataOnly="0" labelOnly="1" outline="0" axis="axisCol" fieldPosition="0"/>
    </format>
    <format dxfId="1557">
      <pivotArea field="4" type="button" dataOnly="0" labelOnly="1" outline="0" axis="axisCol" fieldPosition="1"/>
    </format>
    <format dxfId="1556">
      <pivotArea field="3" type="button" dataOnly="0" labelOnly="1" outline="0" axis="axisCol" fieldPosition="2"/>
    </format>
    <format dxfId="1555">
      <pivotArea type="topRight" dataOnly="0" labelOnly="1" outline="0" fieldPosition="0"/>
    </format>
    <format dxfId="1554">
      <pivotArea field="8" type="button" dataOnly="0" labelOnly="1" outline="0" axis="axisRow" fieldPosition="0"/>
    </format>
    <format dxfId="1553">
      <pivotArea dataOnly="0" labelOnly="1" fieldPosition="0">
        <references count="1">
          <reference field="8" count="0"/>
        </references>
      </pivotArea>
    </format>
    <format dxfId="1552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1551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1550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549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548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547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546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545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544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543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542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541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540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539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538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537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536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535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534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533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532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531">
      <pivotArea dataOnly="0" labelOnly="1" outline="0" fieldPosition="0">
        <references count="1">
          <reference field="5" count="0"/>
        </references>
      </pivotArea>
    </format>
    <format dxfId="1530">
      <pivotArea dataOnly="0" labelOnly="1" outline="0" fieldPosition="0">
        <references count="1">
          <reference field="5" count="0" sumSubtotal="1"/>
        </references>
      </pivotArea>
    </format>
    <format dxfId="1529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0"/>
          </reference>
        </references>
      </pivotArea>
    </format>
    <format dxfId="1528">
      <pivotArea dataOnly="0" labelOnly="1" fieldPosition="0">
        <references count="2">
          <reference field="4" count="5">
            <x v="1"/>
            <x v="5"/>
            <x v="6"/>
            <x v="7"/>
            <x v="8"/>
          </reference>
          <reference field="5" count="1" selected="0">
            <x v="1"/>
          </reference>
        </references>
      </pivotArea>
    </format>
    <format dxfId="1527">
      <pivotArea dataOnly="0" labelOnly="1" fieldPosition="0">
        <references count="2">
          <reference field="4" count="6">
            <x v="0"/>
            <x v="8"/>
            <x v="9"/>
            <x v="10"/>
            <x v="11"/>
            <x v="12"/>
          </reference>
          <reference field="5" count="1" selected="0">
            <x v="2"/>
          </reference>
        </references>
      </pivotArea>
    </format>
    <format dxfId="1526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3"/>
          </reference>
        </references>
      </pivotArea>
    </format>
    <format dxfId="1525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524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1523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522">
      <pivotArea dataOnly="0" labelOnly="1" fieldPosition="0">
        <references count="3">
          <reference field="3" count="1">
            <x v="4"/>
          </reference>
          <reference field="4" count="1" selected="0">
            <x v="5"/>
          </reference>
          <reference field="5" count="1" selected="0">
            <x v="1"/>
          </reference>
        </references>
      </pivotArea>
    </format>
    <format dxfId="1521">
      <pivotArea dataOnly="0" labelOnly="1" fieldPosition="0">
        <references count="3">
          <reference field="3" count="1">
            <x v="8"/>
          </reference>
          <reference field="4" count="1" selected="0">
            <x v="6"/>
          </reference>
          <reference field="5" count="1" selected="0">
            <x v="1"/>
          </reference>
        </references>
      </pivotArea>
    </format>
    <format dxfId="1520">
      <pivotArea dataOnly="0" labelOnly="1" fieldPosition="0">
        <references count="3">
          <reference field="3" count="1">
            <x v="6"/>
          </reference>
          <reference field="4" count="1" selected="0">
            <x v="7"/>
          </reference>
          <reference field="5" count="1" selected="0">
            <x v="1"/>
          </reference>
        </references>
      </pivotArea>
    </format>
    <format dxfId="1519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1"/>
          </reference>
        </references>
      </pivotArea>
    </format>
    <format dxfId="1518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517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2"/>
          </reference>
        </references>
      </pivotArea>
    </format>
    <format dxfId="1516">
      <pivotArea dataOnly="0" labelOnly="1" fieldPosition="0">
        <references count="3">
          <reference field="3" count="1">
            <x v="11"/>
          </reference>
          <reference field="4" count="1" selected="0">
            <x v="9"/>
          </reference>
          <reference field="5" count="1" selected="0">
            <x v="2"/>
          </reference>
        </references>
      </pivotArea>
    </format>
    <format dxfId="1515">
      <pivotArea dataOnly="0" labelOnly="1" fieldPosition="0">
        <references count="3">
          <reference field="3" count="1">
            <x v="0"/>
          </reference>
          <reference field="4" count="1" selected="0">
            <x v="10"/>
          </reference>
          <reference field="5" count="1" selected="0">
            <x v="2"/>
          </reference>
        </references>
      </pivotArea>
    </format>
    <format dxfId="1514">
      <pivotArea dataOnly="0" labelOnly="1" fieldPosition="0">
        <references count="3">
          <reference field="3" count="1">
            <x v="3"/>
          </reference>
          <reference field="4" count="1" selected="0">
            <x v="11"/>
          </reference>
          <reference field="5" count="1" selected="0">
            <x v="2"/>
          </reference>
        </references>
      </pivotArea>
    </format>
    <format dxfId="1513">
      <pivotArea dataOnly="0" labelOnly="1" fieldPosition="0">
        <references count="3">
          <reference field="3" count="1">
            <x v="9"/>
          </reference>
          <reference field="4" count="1" selected="0">
            <x v="12"/>
          </reference>
          <reference field="5" count="1" selected="0">
            <x v="2"/>
          </reference>
        </references>
      </pivotArea>
    </format>
    <format dxfId="1512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1511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1510">
      <pivotArea dataOnly="0" labelOnly="1" fieldPosition="0">
        <references count="1">
          <reference field="8" count="1">
            <x v="0"/>
          </reference>
        </references>
      </pivotArea>
    </format>
    <format dxfId="1509">
      <pivotArea dataOnly="0" labelOnly="1" fieldPosition="0">
        <references count="1">
          <reference field="8" count="1">
            <x v="0"/>
          </reference>
        </references>
      </pivotArea>
    </format>
    <format dxfId="1508">
      <pivotArea collapsedLevelsAreSubtotals="1" fieldPosition="0">
        <references count="1">
          <reference field="8" count="1">
            <x v="0"/>
          </reference>
        </references>
      </pivotArea>
    </format>
    <format dxfId="1507">
      <pivotArea dataOnly="0" labelOnly="1" fieldPosition="0">
        <references count="1">
          <reference field="8" count="1">
            <x v="0"/>
          </reference>
        </references>
      </pivotArea>
    </format>
    <format dxfId="1506">
      <pivotArea collapsedLevelsAreSubtotals="1" fieldPosition="0">
        <references count="7">
          <reference field="1" count="1">
            <x v="7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1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C7:R160" firstHeaderRow="0" firstDataRow="1" firstDataCol="4"/>
  <pivotFields count="19">
    <pivotField axis="axisRow" compact="0" outline="0" showAll="0" sortType="descending" defaultSubtotal="0">
      <items count="9">
        <item x="8"/>
        <item x="7"/>
        <item x="6"/>
        <item x="5"/>
        <item x="4"/>
        <item x="3"/>
        <item x="2"/>
        <item x="1"/>
        <item x="0"/>
      </items>
    </pivotField>
    <pivotField axis="axisRow" compact="0" outline="0" showAll="0" defaultSubtotal="0">
      <items count="8">
        <item x="0"/>
        <item x="5"/>
        <item n="Huấn luyện CĐ" x="4"/>
        <item x="6"/>
        <item x="1"/>
        <item x="3"/>
        <item x="2"/>
        <item x="7"/>
      </items>
    </pivotField>
    <pivotField axis="axisRow" compact="0" outline="0" showAll="0" defaultSubtotal="0">
      <items count="11">
        <item x="0"/>
        <item x="1"/>
        <item x="5"/>
        <item x="7"/>
        <item x="3"/>
        <item x="4"/>
        <item x="6"/>
        <item x="9"/>
        <item x="2"/>
        <item x="10"/>
        <item x="8"/>
      </items>
    </pivotField>
    <pivotField axis="axisRow" compact="0" outline="0" showAll="0" defaultSubtotal="0">
      <items count="21">
        <item x="8"/>
        <item x="6"/>
        <item x="2"/>
        <item x="0"/>
        <item x="13"/>
        <item x="14"/>
        <item x="15"/>
        <item x="16"/>
        <item x="17"/>
        <item x="18"/>
        <item x="19"/>
        <item x="20"/>
        <item x="3"/>
        <item x="4"/>
        <item x="7"/>
        <item x="11"/>
        <item x="1"/>
        <item x="5"/>
        <item x="12"/>
        <item x="10"/>
        <item x="9"/>
      </items>
    </pivotField>
    <pivotField dataField="1" compact="0" numFmtId="165" outline="0" showAll="0" defaultSubtotal="0"/>
    <pivotField dataField="1" compact="0" numFmtId="165" outline="0" showAll="0" defaultSubtotal="0"/>
    <pivotField dataField="1" compact="0" numFmtId="3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</pivotFields>
  <rowFields count="4">
    <field x="0"/>
    <field x="1"/>
    <field x="2"/>
    <field x="3"/>
  </rowFields>
  <rowItems count="153">
    <i>
      <x/>
      <x/>
      <x/>
      <x v="11"/>
    </i>
    <i r="1">
      <x v="1"/>
      <x v="1"/>
      <x/>
    </i>
    <i r="2">
      <x v="3"/>
      <x v="20"/>
    </i>
    <i r="2">
      <x v="10"/>
      <x v="19"/>
    </i>
    <i r="1">
      <x v="2"/>
      <x v="1"/>
      <x v="14"/>
    </i>
    <i r="2">
      <x v="6"/>
      <x v="14"/>
    </i>
    <i r="1">
      <x v="3"/>
      <x v="1"/>
      <x v="15"/>
    </i>
    <i r="2">
      <x v="7"/>
      <x v="15"/>
    </i>
    <i r="1">
      <x v="4"/>
      <x v="1"/>
      <x v="16"/>
    </i>
    <i r="2">
      <x v="8"/>
      <x v="16"/>
    </i>
    <i r="1">
      <x v="5"/>
      <x v="1"/>
      <x v="17"/>
    </i>
    <i r="2">
      <x v="2"/>
      <x v="1"/>
    </i>
    <i r="1">
      <x v="6"/>
      <x v="1"/>
      <x v="2"/>
    </i>
    <i r="2">
      <x v="4"/>
      <x v="12"/>
    </i>
    <i r="2">
      <x v="5"/>
      <x v="13"/>
    </i>
    <i r="1">
      <x v="7"/>
      <x v="1"/>
      <x v="18"/>
    </i>
    <i r="2">
      <x v="9"/>
      <x v="18"/>
    </i>
    <i>
      <x v="1"/>
      <x/>
      <x/>
      <x v="10"/>
    </i>
    <i r="1">
      <x v="1"/>
      <x v="1"/>
      <x/>
    </i>
    <i r="2">
      <x v="3"/>
      <x v="20"/>
    </i>
    <i r="2">
      <x v="10"/>
      <x v="19"/>
    </i>
    <i r="1">
      <x v="2"/>
      <x v="1"/>
      <x v="14"/>
    </i>
    <i r="2">
      <x v="6"/>
      <x v="14"/>
    </i>
    <i r="1">
      <x v="3"/>
      <x v="1"/>
      <x v="15"/>
    </i>
    <i r="2">
      <x v="7"/>
      <x v="15"/>
    </i>
    <i r="1">
      <x v="4"/>
      <x v="1"/>
      <x v="16"/>
    </i>
    <i r="2">
      <x v="8"/>
      <x v="16"/>
    </i>
    <i r="1">
      <x v="5"/>
      <x v="1"/>
      <x v="17"/>
    </i>
    <i r="2">
      <x v="2"/>
      <x v="1"/>
    </i>
    <i r="1">
      <x v="6"/>
      <x v="1"/>
      <x v="2"/>
    </i>
    <i r="2">
      <x v="4"/>
      <x v="12"/>
    </i>
    <i r="2">
      <x v="5"/>
      <x v="13"/>
    </i>
    <i r="1">
      <x v="7"/>
      <x v="1"/>
      <x v="18"/>
    </i>
    <i r="2">
      <x v="9"/>
      <x v="18"/>
    </i>
    <i>
      <x v="2"/>
      <x/>
      <x/>
      <x v="9"/>
    </i>
    <i r="1">
      <x v="1"/>
      <x v="1"/>
      <x/>
    </i>
    <i r="2">
      <x v="3"/>
      <x v="20"/>
    </i>
    <i r="2">
      <x v="10"/>
      <x v="19"/>
    </i>
    <i r="1">
      <x v="2"/>
      <x v="1"/>
      <x v="14"/>
    </i>
    <i r="2">
      <x v="6"/>
      <x v="14"/>
    </i>
    <i r="1">
      <x v="3"/>
      <x v="1"/>
      <x v="15"/>
    </i>
    <i r="2">
      <x v="7"/>
      <x v="15"/>
    </i>
    <i r="1">
      <x v="4"/>
      <x v="1"/>
      <x v="16"/>
    </i>
    <i r="2">
      <x v="8"/>
      <x v="16"/>
    </i>
    <i r="1">
      <x v="5"/>
      <x v="1"/>
      <x v="17"/>
    </i>
    <i r="2">
      <x v="2"/>
      <x v="1"/>
    </i>
    <i r="1">
      <x v="6"/>
      <x v="1"/>
      <x v="2"/>
    </i>
    <i r="2">
      <x v="4"/>
      <x v="12"/>
    </i>
    <i r="2">
      <x v="5"/>
      <x v="13"/>
    </i>
    <i r="1">
      <x v="7"/>
      <x v="1"/>
      <x v="18"/>
    </i>
    <i r="2">
      <x v="9"/>
      <x v="18"/>
    </i>
    <i>
      <x v="3"/>
      <x/>
      <x/>
      <x v="8"/>
    </i>
    <i r="1">
      <x v="1"/>
      <x v="1"/>
      <x/>
    </i>
    <i r="2">
      <x v="3"/>
      <x v="20"/>
    </i>
    <i r="2">
      <x v="10"/>
      <x v="19"/>
    </i>
    <i r="1">
      <x v="2"/>
      <x v="1"/>
      <x v="14"/>
    </i>
    <i r="2">
      <x v="6"/>
      <x v="14"/>
    </i>
    <i r="1">
      <x v="3"/>
      <x v="1"/>
      <x v="15"/>
    </i>
    <i r="2">
      <x v="7"/>
      <x v="15"/>
    </i>
    <i r="1">
      <x v="4"/>
      <x v="1"/>
      <x v="16"/>
    </i>
    <i r="2">
      <x v="8"/>
      <x v="16"/>
    </i>
    <i r="1">
      <x v="5"/>
      <x v="1"/>
      <x v="17"/>
    </i>
    <i r="2">
      <x v="2"/>
      <x v="1"/>
    </i>
    <i r="1">
      <x v="6"/>
      <x v="1"/>
      <x v="2"/>
    </i>
    <i r="2">
      <x v="4"/>
      <x v="12"/>
    </i>
    <i r="2">
      <x v="5"/>
      <x v="13"/>
    </i>
    <i r="1">
      <x v="7"/>
      <x v="1"/>
      <x v="18"/>
    </i>
    <i r="2">
      <x v="9"/>
      <x v="18"/>
    </i>
    <i>
      <x v="4"/>
      <x/>
      <x/>
      <x v="7"/>
    </i>
    <i r="1">
      <x v="1"/>
      <x v="1"/>
      <x/>
    </i>
    <i r="2">
      <x v="3"/>
      <x v="20"/>
    </i>
    <i r="2">
      <x v="10"/>
      <x v="19"/>
    </i>
    <i r="1">
      <x v="2"/>
      <x v="1"/>
      <x v="14"/>
    </i>
    <i r="2">
      <x v="6"/>
      <x v="14"/>
    </i>
    <i r="1">
      <x v="3"/>
      <x v="1"/>
      <x v="15"/>
    </i>
    <i r="2">
      <x v="7"/>
      <x v="15"/>
    </i>
    <i r="1">
      <x v="4"/>
      <x v="1"/>
      <x v="16"/>
    </i>
    <i r="2">
      <x v="8"/>
      <x v="16"/>
    </i>
    <i r="1">
      <x v="5"/>
      <x v="1"/>
      <x v="17"/>
    </i>
    <i r="2">
      <x v="2"/>
      <x v="1"/>
    </i>
    <i r="1">
      <x v="6"/>
      <x v="1"/>
      <x v="2"/>
    </i>
    <i r="2">
      <x v="4"/>
      <x v="12"/>
    </i>
    <i r="2">
      <x v="5"/>
      <x v="13"/>
    </i>
    <i r="1">
      <x v="7"/>
      <x v="1"/>
      <x v="18"/>
    </i>
    <i r="2">
      <x v="9"/>
      <x v="18"/>
    </i>
    <i>
      <x v="5"/>
      <x/>
      <x/>
      <x v="6"/>
    </i>
    <i r="1">
      <x v="1"/>
      <x v="1"/>
      <x/>
    </i>
    <i r="2">
      <x v="3"/>
      <x v="20"/>
    </i>
    <i r="2">
      <x v="10"/>
      <x v="19"/>
    </i>
    <i r="1">
      <x v="2"/>
      <x v="1"/>
      <x v="14"/>
    </i>
    <i r="2">
      <x v="6"/>
      <x v="14"/>
    </i>
    <i r="1">
      <x v="3"/>
      <x v="1"/>
      <x v="15"/>
    </i>
    <i r="2">
      <x v="7"/>
      <x v="15"/>
    </i>
    <i r="1">
      <x v="4"/>
      <x v="1"/>
      <x v="16"/>
    </i>
    <i r="2">
      <x v="8"/>
      <x v="16"/>
    </i>
    <i r="1">
      <x v="5"/>
      <x v="1"/>
      <x v="17"/>
    </i>
    <i r="2">
      <x v="2"/>
      <x v="1"/>
    </i>
    <i r="1">
      <x v="6"/>
      <x v="1"/>
      <x v="2"/>
    </i>
    <i r="2">
      <x v="4"/>
      <x v="12"/>
    </i>
    <i r="2">
      <x v="5"/>
      <x v="13"/>
    </i>
    <i r="1">
      <x v="7"/>
      <x v="1"/>
      <x v="18"/>
    </i>
    <i r="2">
      <x v="9"/>
      <x v="18"/>
    </i>
    <i>
      <x v="6"/>
      <x/>
      <x/>
      <x v="5"/>
    </i>
    <i r="1">
      <x v="1"/>
      <x v="1"/>
      <x/>
    </i>
    <i r="2">
      <x v="3"/>
      <x v="20"/>
    </i>
    <i r="2">
      <x v="10"/>
      <x v="19"/>
    </i>
    <i r="1">
      <x v="2"/>
      <x v="1"/>
      <x v="14"/>
    </i>
    <i r="2">
      <x v="6"/>
      <x v="14"/>
    </i>
    <i r="1">
      <x v="3"/>
      <x v="1"/>
      <x v="15"/>
    </i>
    <i r="2">
      <x v="7"/>
      <x v="15"/>
    </i>
    <i r="1">
      <x v="4"/>
      <x v="1"/>
      <x v="16"/>
    </i>
    <i r="2">
      <x v="8"/>
      <x v="16"/>
    </i>
    <i r="1">
      <x v="5"/>
      <x v="1"/>
      <x v="17"/>
    </i>
    <i r="2">
      <x v="2"/>
      <x v="1"/>
    </i>
    <i r="1">
      <x v="6"/>
      <x v="1"/>
      <x v="2"/>
    </i>
    <i r="2">
      <x v="4"/>
      <x v="12"/>
    </i>
    <i r="2">
      <x v="5"/>
      <x v="13"/>
    </i>
    <i r="1">
      <x v="7"/>
      <x v="1"/>
      <x v="18"/>
    </i>
    <i r="2">
      <x v="9"/>
      <x v="18"/>
    </i>
    <i>
      <x v="7"/>
      <x/>
      <x/>
      <x v="4"/>
    </i>
    <i r="1">
      <x v="1"/>
      <x v="1"/>
      <x/>
    </i>
    <i r="2">
      <x v="3"/>
      <x v="20"/>
    </i>
    <i r="2">
      <x v="10"/>
      <x v="19"/>
    </i>
    <i r="1">
      <x v="2"/>
      <x v="1"/>
      <x v="14"/>
    </i>
    <i r="2">
      <x v="6"/>
      <x v="14"/>
    </i>
    <i r="1">
      <x v="3"/>
      <x v="1"/>
      <x v="15"/>
    </i>
    <i r="2">
      <x v="7"/>
      <x v="15"/>
    </i>
    <i r="1">
      <x v="4"/>
      <x v="1"/>
      <x v="16"/>
    </i>
    <i r="2">
      <x v="8"/>
      <x v="16"/>
    </i>
    <i r="1">
      <x v="5"/>
      <x v="1"/>
      <x v="17"/>
    </i>
    <i r="2">
      <x v="2"/>
      <x v="1"/>
    </i>
    <i r="1">
      <x v="6"/>
      <x v="1"/>
      <x v="2"/>
    </i>
    <i r="2">
      <x v="4"/>
      <x v="12"/>
    </i>
    <i r="2">
      <x v="5"/>
      <x v="13"/>
    </i>
    <i r="1">
      <x v="7"/>
      <x v="1"/>
      <x v="18"/>
    </i>
    <i r="2">
      <x v="9"/>
      <x v="18"/>
    </i>
    <i>
      <x v="8"/>
      <x/>
      <x/>
      <x v="3"/>
    </i>
    <i r="1">
      <x v="1"/>
      <x v="1"/>
      <x/>
    </i>
    <i r="2">
      <x v="3"/>
      <x v="20"/>
    </i>
    <i r="2">
      <x v="10"/>
      <x v="19"/>
    </i>
    <i r="1">
      <x v="2"/>
      <x v="1"/>
      <x v="14"/>
    </i>
    <i r="2">
      <x v="6"/>
      <x v="14"/>
    </i>
    <i r="1">
      <x v="3"/>
      <x v="1"/>
      <x v="15"/>
    </i>
    <i r="2">
      <x v="7"/>
      <x v="15"/>
    </i>
    <i r="1">
      <x v="4"/>
      <x v="1"/>
      <x v="16"/>
    </i>
    <i r="2">
      <x v="8"/>
      <x v="16"/>
    </i>
    <i r="1">
      <x v="5"/>
      <x v="1"/>
      <x v="17"/>
    </i>
    <i r="2">
      <x v="2"/>
      <x v="1"/>
    </i>
    <i r="1">
      <x v="6"/>
      <x v="1"/>
      <x v="2"/>
    </i>
    <i r="2">
      <x v="4"/>
      <x v="12"/>
    </i>
    <i r="2">
      <x v="5"/>
      <x v="13"/>
    </i>
    <i r="1">
      <x v="7"/>
      <x v="1"/>
      <x v="18"/>
    </i>
    <i r="2">
      <x v="9"/>
      <x v="18"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Sum of ct_md" fld="5" baseField="2" baseItem="15" numFmtId="165"/>
    <dataField name="Sum of ct_tk" fld="6" baseField="2" baseItem="4" numFmtId="165"/>
    <dataField name="Sum of sum_ct" fld="9" baseField="3" baseItem="20" numFmtId="165"/>
    <dataField name="Sum of consumpt" fld="4" baseField="3" baseItem="18" numFmtId="3"/>
    <dataField name="Sum of dur_text_tk" fld="8" baseField="3" baseItem="11" numFmtId="165"/>
    <dataField name="Sum of dur_text" fld="7" baseField="2" baseItem="4" numFmtId="165"/>
    <dataField name="Sum of sum_gb" fld="10" baseField="3" baseItem="11" numFmtId="165"/>
    <dataField name="Sum of thuc_xuat_tk" fld="13" baseField="0" baseItem="0"/>
    <dataField name="Sum of thuc_xuat" fld="12" baseField="0" baseItem="0"/>
    <dataField name="Sum of sum_thucxuat" fld="11" baseField="0" baseItem="0"/>
    <dataField name="Sum of hao_hut" fld="14" baseField="0" baseItem="0"/>
    <dataField name="Sum of Tong_cong" fld="15" baseField="0" baseItem="0"/>
  </dataFields>
  <formats count="743">
    <format dxfId="761">
      <pivotArea outline="0" fieldPosition="0">
        <references count="1">
          <reference field="4294967294" count="1">
            <x v="2"/>
          </reference>
        </references>
      </pivotArea>
    </format>
    <format dxfId="762">
      <pivotArea outline="0" fieldPosition="0">
        <references count="1">
          <reference field="4294967294" count="1">
            <x v="5"/>
          </reference>
        </references>
      </pivotArea>
    </format>
    <format dxfId="763">
      <pivotArea dataOnly="0" outline="0" fieldPosition="0">
        <references count="1">
          <reference field="3" count="1">
            <x v="0"/>
          </reference>
        </references>
      </pivotArea>
    </format>
    <format dxfId="764">
      <pivotArea dataOnly="0" outline="0" fieldPosition="0">
        <references count="1">
          <reference field="3" count="1">
            <x v="2"/>
          </reference>
        </references>
      </pivotArea>
    </format>
    <format dxfId="765">
      <pivotArea dataOnly="0" outline="0" fieldPosition="0">
        <references count="2">
          <reference field="2" count="1" selected="0">
            <x v="1"/>
          </reference>
          <reference field="3" count="1">
            <x v="14"/>
          </reference>
        </references>
      </pivotArea>
    </format>
    <format dxfId="766">
      <pivotArea dataOnly="0" outline="0" fieldPosition="0">
        <references count="2">
          <reference field="2" count="1" selected="0">
            <x v="1"/>
          </reference>
          <reference field="3" count="1">
            <x v="15"/>
          </reference>
        </references>
      </pivotArea>
    </format>
    <format dxfId="767">
      <pivotArea dataOnly="0" outline="0" fieldPosition="0">
        <references count="2">
          <reference field="2" count="1" selected="0">
            <x v="1"/>
          </reference>
          <reference field="3" count="1">
            <x v="16"/>
          </reference>
        </references>
      </pivotArea>
    </format>
    <format dxfId="768">
      <pivotArea dataOnly="0" outline="0" fieldPosition="0">
        <references count="1">
          <reference field="3" count="1">
            <x v="1"/>
          </reference>
        </references>
      </pivotArea>
    </format>
    <format dxfId="769">
      <pivotArea dataOnly="0" outline="0" fieldPosition="0">
        <references count="2">
          <reference field="2" count="1" selected="0">
            <x v="1"/>
          </reference>
          <reference field="3" count="1">
            <x v="18"/>
          </reference>
        </references>
      </pivotArea>
    </format>
    <format dxfId="770">
      <pivotArea dataOnly="0" outline="0" fieldPosition="0">
        <references count="1">
          <reference field="3" count="1">
            <x v="4"/>
          </reference>
        </references>
      </pivotArea>
    </format>
    <format dxfId="771">
      <pivotArea dataOnly="0" outline="0" fieldPosition="0">
        <references count="1">
          <reference field="1" count="1">
            <x v="0"/>
          </reference>
        </references>
      </pivotArea>
    </format>
    <format dxfId="772">
      <pivotArea outline="0" fieldPosition="0">
        <references count="1">
          <reference field="4294967294" count="1">
            <x v="2"/>
          </reference>
        </references>
      </pivotArea>
    </format>
    <format dxfId="773">
      <pivotArea outline="0" fieldPosition="0">
        <references count="1">
          <reference field="4294967294" count="1">
            <x v="2"/>
          </reference>
        </references>
      </pivotArea>
    </format>
    <format dxfId="77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11"/>
          </reference>
        </references>
      </pivotArea>
    </format>
    <format dxfId="775">
      <pivotArea dataOnly="0" outline="0" fieldPosition="0">
        <references count="1">
          <reference field="3" count="1">
            <x v="11"/>
          </reference>
        </references>
      </pivotArea>
    </format>
    <format dxfId="776">
      <pivotArea dataOnly="0" outline="0" fieldPosition="0">
        <references count="1">
          <reference field="3" count="1">
            <x v="11"/>
          </reference>
        </references>
      </pivotArea>
    </format>
    <format dxfId="777">
      <pivotArea dataOnly="0" outline="0" fieldPosition="0">
        <references count="2">
          <reference field="2" count="1" selected="0">
            <x v="1"/>
          </reference>
          <reference field="3" count="1">
            <x v="0"/>
          </reference>
        </references>
      </pivotArea>
    </format>
    <format dxfId="778">
      <pivotArea dataOnly="0" outline="0" fieldPosition="0">
        <references count="1">
          <reference field="3" count="1">
            <x v="2"/>
          </reference>
        </references>
      </pivotArea>
    </format>
    <format dxfId="779">
      <pivotArea dataOnly="0" outline="0" fieldPosition="0">
        <references count="1">
          <reference field="3" count="1">
            <x v="14"/>
          </reference>
        </references>
      </pivotArea>
    </format>
    <format dxfId="780">
      <pivotArea dataOnly="0" outline="0" fieldPosition="0">
        <references count="1">
          <reference field="3" count="1">
            <x v="15"/>
          </reference>
        </references>
      </pivotArea>
    </format>
    <format dxfId="781">
      <pivotArea dataOnly="0" outline="0" fieldPosition="0">
        <references count="1">
          <reference field="3" count="1">
            <x v="16"/>
          </reference>
        </references>
      </pivotArea>
    </format>
    <format dxfId="782">
      <pivotArea dataOnly="0" outline="0" fieldPosition="0">
        <references count="1">
          <reference field="3" count="1">
            <x v="1"/>
          </reference>
        </references>
      </pivotArea>
    </format>
    <format dxfId="783">
      <pivotArea dataOnly="0" outline="0" fieldPosition="0">
        <references count="1">
          <reference field="3" count="1">
            <x v="18"/>
          </reference>
        </references>
      </pivotArea>
    </format>
    <format dxfId="784">
      <pivotArea dataOnly="0" outline="0" fieldPosition="0">
        <references count="1">
          <reference field="3" count="1">
            <x v="10"/>
          </reference>
        </references>
      </pivotArea>
    </format>
    <format dxfId="785">
      <pivotArea dataOnly="0" outline="0" fieldPosition="0">
        <references count="1">
          <reference field="1" count="1">
            <x v="0"/>
          </reference>
        </references>
      </pivotArea>
    </format>
    <format dxfId="786">
      <pivotArea dataOnly="0" outline="0" fieldPosition="0">
        <references count="1">
          <reference field="1" count="1">
            <x v="0"/>
          </reference>
        </references>
      </pivotArea>
    </format>
    <format dxfId="787">
      <pivotArea dataOnly="0" outline="0" fieldPosition="0">
        <references count="1">
          <reference field="3" count="1">
            <x v="9"/>
          </reference>
        </references>
      </pivotArea>
    </format>
    <format dxfId="788">
      <pivotArea dataOnly="0" outline="0" fieldPosition="0">
        <references count="1">
          <reference field="3" count="1">
            <x v="8"/>
          </reference>
        </references>
      </pivotArea>
    </format>
    <format dxfId="789">
      <pivotArea dataOnly="0" outline="0" fieldPosition="0">
        <references count="1">
          <reference field="3" count="2">
            <x v="7"/>
            <x v="8"/>
          </reference>
        </references>
      </pivotArea>
    </format>
    <format dxfId="790">
      <pivotArea dataOnly="0" outline="0" fieldPosition="0">
        <references count="1">
          <reference field="3" count="1">
            <x v="6"/>
          </reference>
        </references>
      </pivotArea>
    </format>
    <format dxfId="791">
      <pivotArea dataOnly="0" outline="0" fieldPosition="0">
        <references count="1">
          <reference field="3" count="1">
            <x v="5"/>
          </reference>
        </references>
      </pivotArea>
    </format>
    <format dxfId="792">
      <pivotArea dataOnly="0" outline="0" fieldPosition="0">
        <references count="1">
          <reference field="3" count="1">
            <x v="3"/>
          </reference>
        </references>
      </pivotArea>
    </format>
    <format dxfId="793">
      <pivotArea outline="0" fieldPosition="0">
        <references count="1">
          <reference field="4294967294" count="1">
            <x v="3"/>
          </reference>
        </references>
      </pivotArea>
    </format>
    <format dxfId="794">
      <pivotArea type="all" dataOnly="0" outline="0" fieldPosition="0"/>
    </format>
    <format dxfId="795">
      <pivotArea outline="0" collapsedLevelsAreSubtotals="1" fieldPosition="0"/>
    </format>
    <format dxfId="796">
      <pivotArea field="0" type="button" dataOnly="0" labelOnly="1" outline="0" axis="axisRow" fieldPosition="0"/>
    </format>
    <format dxfId="797">
      <pivotArea field="1" type="button" dataOnly="0" labelOnly="1" outline="0" axis="axisRow" fieldPosition="1"/>
    </format>
    <format dxfId="798">
      <pivotArea field="2" type="button" dataOnly="0" labelOnly="1" outline="0" axis="axisRow" fieldPosition="2"/>
    </format>
    <format dxfId="799">
      <pivotArea field="3" type="button" dataOnly="0" labelOnly="1" outline="0" axis="axisRow" fieldPosition="3"/>
    </format>
    <format dxfId="800">
      <pivotArea dataOnly="0" labelOnly="1" outline="0" fieldPosition="0">
        <references count="1">
          <reference field="0" count="0"/>
        </references>
      </pivotArea>
    </format>
    <format dxfId="801">
      <pivotArea dataOnly="0" labelOnly="1" outline="0" fieldPosition="0">
        <references count="2">
          <reference field="0" count="1" selected="0">
            <x v="0"/>
          </reference>
          <reference field="1" count="0"/>
        </references>
      </pivotArea>
    </format>
    <format dxfId="802">
      <pivotArea dataOnly="0" labelOnly="1" outline="0" fieldPosition="0">
        <references count="2">
          <reference field="0" count="1" selected="0">
            <x v="1"/>
          </reference>
          <reference field="1" count="0"/>
        </references>
      </pivotArea>
    </format>
    <format dxfId="803">
      <pivotArea dataOnly="0" labelOnly="1" outline="0" fieldPosition="0">
        <references count="2">
          <reference field="0" count="1" selected="0">
            <x v="2"/>
          </reference>
          <reference field="1" count="0"/>
        </references>
      </pivotArea>
    </format>
    <format dxfId="804">
      <pivotArea dataOnly="0" labelOnly="1" outline="0" fieldPosition="0">
        <references count="2">
          <reference field="0" count="1" selected="0">
            <x v="3"/>
          </reference>
          <reference field="1" count="0"/>
        </references>
      </pivotArea>
    </format>
    <format dxfId="805">
      <pivotArea dataOnly="0" labelOnly="1" outline="0" fieldPosition="0">
        <references count="2">
          <reference field="0" count="1" selected="0">
            <x v="4"/>
          </reference>
          <reference field="1" count="0"/>
        </references>
      </pivotArea>
    </format>
    <format dxfId="806">
      <pivotArea dataOnly="0" labelOnly="1" outline="0" fieldPosition="0">
        <references count="2">
          <reference field="0" count="1" selected="0">
            <x v="5"/>
          </reference>
          <reference field="1" count="0"/>
        </references>
      </pivotArea>
    </format>
    <format dxfId="807">
      <pivotArea dataOnly="0" labelOnly="1" outline="0" fieldPosition="0">
        <references count="2">
          <reference field="0" count="1" selected="0">
            <x v="6"/>
          </reference>
          <reference field="1" count="0"/>
        </references>
      </pivotArea>
    </format>
    <format dxfId="808">
      <pivotArea dataOnly="0" labelOnly="1" outline="0" fieldPosition="0">
        <references count="2">
          <reference field="0" count="1" selected="0">
            <x v="7"/>
          </reference>
          <reference field="1" count="0"/>
        </references>
      </pivotArea>
    </format>
    <format dxfId="809">
      <pivotArea dataOnly="0" labelOnly="1" outline="0" fieldPosition="0">
        <references count="2">
          <reference field="0" count="1" selected="0">
            <x v="8"/>
          </reference>
          <reference field="1" count="0"/>
        </references>
      </pivotArea>
    </format>
    <format dxfId="810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811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1"/>
          </reference>
          <reference field="2" count="3">
            <x v="1"/>
            <x v="3"/>
            <x v="10"/>
          </reference>
        </references>
      </pivotArea>
    </format>
    <format dxfId="812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2"/>
          </reference>
          <reference field="2" count="2">
            <x v="1"/>
            <x v="6"/>
          </reference>
        </references>
      </pivotArea>
    </format>
    <format dxfId="813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3"/>
          </reference>
          <reference field="2" count="2">
            <x v="1"/>
            <x v="7"/>
          </reference>
        </references>
      </pivotArea>
    </format>
    <format dxfId="814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4"/>
          </reference>
          <reference field="2" count="2">
            <x v="1"/>
            <x v="8"/>
          </reference>
        </references>
      </pivotArea>
    </format>
    <format dxfId="815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5"/>
          </reference>
          <reference field="2" count="2">
            <x v="1"/>
            <x v="2"/>
          </reference>
        </references>
      </pivotArea>
    </format>
    <format dxfId="816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6"/>
          </reference>
          <reference field="2" count="3">
            <x v="1"/>
            <x v="4"/>
            <x v="5"/>
          </reference>
        </references>
      </pivotArea>
    </format>
    <format dxfId="817">
      <pivotArea dataOnly="0" labelOnly="1" outline="0" fieldPosition="0">
        <references count="3">
          <reference field="0" count="1" selected="0">
            <x v="0"/>
          </reference>
          <reference field="1" count="1" selected="0">
            <x v="7"/>
          </reference>
          <reference field="2" count="2">
            <x v="1"/>
            <x v="9"/>
          </reference>
        </references>
      </pivotArea>
    </format>
    <format dxfId="818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819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"/>
          </reference>
          <reference field="2" count="3">
            <x v="1"/>
            <x v="3"/>
            <x v="10"/>
          </reference>
        </references>
      </pivotArea>
    </format>
    <format dxfId="820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"/>
          </reference>
          <reference field="2" count="2">
            <x v="1"/>
            <x v="6"/>
          </reference>
        </references>
      </pivotArea>
    </format>
    <format dxfId="821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3"/>
          </reference>
          <reference field="2" count="2">
            <x v="1"/>
            <x v="7"/>
          </reference>
        </references>
      </pivotArea>
    </format>
    <format dxfId="822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4"/>
          </reference>
          <reference field="2" count="2">
            <x v="1"/>
            <x v="8"/>
          </reference>
        </references>
      </pivotArea>
    </format>
    <format dxfId="823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5"/>
          </reference>
          <reference field="2" count="2">
            <x v="1"/>
            <x v="2"/>
          </reference>
        </references>
      </pivotArea>
    </format>
    <format dxfId="824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6"/>
          </reference>
          <reference field="2" count="3">
            <x v="1"/>
            <x v="4"/>
            <x v="5"/>
          </reference>
        </references>
      </pivotArea>
    </format>
    <format dxfId="825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7"/>
          </reference>
          <reference field="2" count="2">
            <x v="1"/>
            <x v="9"/>
          </reference>
        </references>
      </pivotArea>
    </format>
    <format dxfId="826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827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1"/>
          </reference>
          <reference field="2" count="3">
            <x v="1"/>
            <x v="3"/>
            <x v="10"/>
          </reference>
        </references>
      </pivotArea>
    </format>
    <format dxfId="828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2"/>
          </reference>
          <reference field="2" count="2">
            <x v="1"/>
            <x v="6"/>
          </reference>
        </references>
      </pivotArea>
    </format>
    <format dxfId="829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3"/>
          </reference>
          <reference field="2" count="2">
            <x v="1"/>
            <x v="7"/>
          </reference>
        </references>
      </pivotArea>
    </format>
    <format dxfId="830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4"/>
          </reference>
          <reference field="2" count="2">
            <x v="1"/>
            <x v="8"/>
          </reference>
        </references>
      </pivotArea>
    </format>
    <format dxfId="831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5"/>
          </reference>
          <reference field="2" count="2">
            <x v="1"/>
            <x v="2"/>
          </reference>
        </references>
      </pivotArea>
    </format>
    <format dxfId="832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6"/>
          </reference>
          <reference field="2" count="3">
            <x v="1"/>
            <x v="4"/>
            <x v="5"/>
          </reference>
        </references>
      </pivotArea>
    </format>
    <format dxfId="833">
      <pivotArea dataOnly="0" labelOnly="1" outline="0" fieldPosition="0">
        <references count="3">
          <reference field="0" count="1" selected="0">
            <x v="2"/>
          </reference>
          <reference field="1" count="1" selected="0">
            <x v="7"/>
          </reference>
          <reference field="2" count="2">
            <x v="1"/>
            <x v="9"/>
          </reference>
        </references>
      </pivotArea>
    </format>
    <format dxfId="834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835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1"/>
          </reference>
          <reference field="2" count="3">
            <x v="1"/>
            <x v="3"/>
            <x v="10"/>
          </reference>
        </references>
      </pivotArea>
    </format>
    <format dxfId="836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2"/>
          </reference>
          <reference field="2" count="2">
            <x v="1"/>
            <x v="6"/>
          </reference>
        </references>
      </pivotArea>
    </format>
    <format dxfId="837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3"/>
          </reference>
          <reference field="2" count="2">
            <x v="1"/>
            <x v="7"/>
          </reference>
        </references>
      </pivotArea>
    </format>
    <format dxfId="838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4"/>
          </reference>
          <reference field="2" count="2">
            <x v="1"/>
            <x v="8"/>
          </reference>
        </references>
      </pivotArea>
    </format>
    <format dxfId="839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5"/>
          </reference>
          <reference field="2" count="2">
            <x v="1"/>
            <x v="2"/>
          </reference>
        </references>
      </pivotArea>
    </format>
    <format dxfId="840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6"/>
          </reference>
          <reference field="2" count="3">
            <x v="1"/>
            <x v="4"/>
            <x v="5"/>
          </reference>
        </references>
      </pivotArea>
    </format>
    <format dxfId="841">
      <pivotArea dataOnly="0" labelOnly="1" outline="0" fieldPosition="0">
        <references count="3">
          <reference field="0" count="1" selected="0">
            <x v="3"/>
          </reference>
          <reference field="1" count="1" selected="0">
            <x v="7"/>
          </reference>
          <reference field="2" count="2">
            <x v="1"/>
            <x v="9"/>
          </reference>
        </references>
      </pivotArea>
    </format>
    <format dxfId="842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843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1"/>
          </reference>
          <reference field="2" count="3">
            <x v="1"/>
            <x v="3"/>
            <x v="10"/>
          </reference>
        </references>
      </pivotArea>
    </format>
    <format dxfId="844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2"/>
          </reference>
          <reference field="2" count="2">
            <x v="1"/>
            <x v="6"/>
          </reference>
        </references>
      </pivotArea>
    </format>
    <format dxfId="845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3"/>
          </reference>
          <reference field="2" count="2">
            <x v="1"/>
            <x v="7"/>
          </reference>
        </references>
      </pivotArea>
    </format>
    <format dxfId="846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2" count="2">
            <x v="1"/>
            <x v="8"/>
          </reference>
        </references>
      </pivotArea>
    </format>
    <format dxfId="847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5"/>
          </reference>
          <reference field="2" count="2">
            <x v="1"/>
            <x v="2"/>
          </reference>
        </references>
      </pivotArea>
    </format>
    <format dxfId="848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6"/>
          </reference>
          <reference field="2" count="3">
            <x v="1"/>
            <x v="4"/>
            <x v="5"/>
          </reference>
        </references>
      </pivotArea>
    </format>
    <format dxfId="849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7"/>
          </reference>
          <reference field="2" count="2">
            <x v="1"/>
            <x v="9"/>
          </reference>
        </references>
      </pivotArea>
    </format>
    <format dxfId="850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851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1"/>
          </reference>
          <reference field="2" count="3">
            <x v="1"/>
            <x v="3"/>
            <x v="10"/>
          </reference>
        </references>
      </pivotArea>
    </format>
    <format dxfId="852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2"/>
          </reference>
          <reference field="2" count="2">
            <x v="1"/>
            <x v="6"/>
          </reference>
        </references>
      </pivotArea>
    </format>
    <format dxfId="853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3"/>
          </reference>
          <reference field="2" count="2">
            <x v="1"/>
            <x v="7"/>
          </reference>
        </references>
      </pivotArea>
    </format>
    <format dxfId="854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4"/>
          </reference>
          <reference field="2" count="2">
            <x v="1"/>
            <x v="8"/>
          </reference>
        </references>
      </pivotArea>
    </format>
    <format dxfId="855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5"/>
          </reference>
          <reference field="2" count="2">
            <x v="1"/>
            <x v="2"/>
          </reference>
        </references>
      </pivotArea>
    </format>
    <format dxfId="856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6"/>
          </reference>
          <reference field="2" count="3">
            <x v="1"/>
            <x v="4"/>
            <x v="5"/>
          </reference>
        </references>
      </pivotArea>
    </format>
    <format dxfId="857">
      <pivotArea dataOnly="0" labelOnly="1" outline="0" fieldPosition="0">
        <references count="3">
          <reference field="0" count="1" selected="0">
            <x v="5"/>
          </reference>
          <reference field="1" count="1" selected="0">
            <x v="7"/>
          </reference>
          <reference field="2" count="2">
            <x v="1"/>
            <x v="9"/>
          </reference>
        </references>
      </pivotArea>
    </format>
    <format dxfId="858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859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1"/>
          </reference>
          <reference field="2" count="3">
            <x v="1"/>
            <x v="3"/>
            <x v="10"/>
          </reference>
        </references>
      </pivotArea>
    </format>
    <format dxfId="860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2"/>
          </reference>
          <reference field="2" count="2">
            <x v="1"/>
            <x v="6"/>
          </reference>
        </references>
      </pivotArea>
    </format>
    <format dxfId="861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3"/>
          </reference>
          <reference field="2" count="2">
            <x v="1"/>
            <x v="7"/>
          </reference>
        </references>
      </pivotArea>
    </format>
    <format dxfId="862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2" count="2">
            <x v="1"/>
            <x v="8"/>
          </reference>
        </references>
      </pivotArea>
    </format>
    <format dxfId="863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5"/>
          </reference>
          <reference field="2" count="2">
            <x v="1"/>
            <x v="2"/>
          </reference>
        </references>
      </pivotArea>
    </format>
    <format dxfId="864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6"/>
          </reference>
          <reference field="2" count="3">
            <x v="1"/>
            <x v="4"/>
            <x v="5"/>
          </reference>
        </references>
      </pivotArea>
    </format>
    <format dxfId="865">
      <pivotArea dataOnly="0" labelOnly="1" outline="0" fieldPosition="0">
        <references count="3">
          <reference field="0" count="1" selected="0">
            <x v="6"/>
          </reference>
          <reference field="1" count="1" selected="0">
            <x v="7"/>
          </reference>
          <reference field="2" count="2">
            <x v="1"/>
            <x v="9"/>
          </reference>
        </references>
      </pivotArea>
    </format>
    <format dxfId="866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867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1"/>
          </reference>
          <reference field="2" count="3">
            <x v="1"/>
            <x v="3"/>
            <x v="10"/>
          </reference>
        </references>
      </pivotArea>
    </format>
    <format dxfId="868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2"/>
          </reference>
          <reference field="2" count="2">
            <x v="1"/>
            <x v="6"/>
          </reference>
        </references>
      </pivotArea>
    </format>
    <format dxfId="869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3"/>
          </reference>
          <reference field="2" count="2">
            <x v="1"/>
            <x v="7"/>
          </reference>
        </references>
      </pivotArea>
    </format>
    <format dxfId="870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4"/>
          </reference>
          <reference field="2" count="2">
            <x v="1"/>
            <x v="8"/>
          </reference>
        </references>
      </pivotArea>
    </format>
    <format dxfId="871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5"/>
          </reference>
          <reference field="2" count="2">
            <x v="1"/>
            <x v="2"/>
          </reference>
        </references>
      </pivotArea>
    </format>
    <format dxfId="872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6"/>
          </reference>
          <reference field="2" count="3">
            <x v="1"/>
            <x v="4"/>
            <x v="5"/>
          </reference>
        </references>
      </pivotArea>
    </format>
    <format dxfId="873">
      <pivotArea dataOnly="0" labelOnly="1" outline="0" fieldPosition="0">
        <references count="3">
          <reference field="0" count="1" selected="0">
            <x v="7"/>
          </reference>
          <reference field="1" count="1" selected="0">
            <x v="7"/>
          </reference>
          <reference field="2" count="2">
            <x v="1"/>
            <x v="9"/>
          </reference>
        </references>
      </pivotArea>
    </format>
    <format dxfId="874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875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1"/>
          </reference>
          <reference field="2" count="3">
            <x v="1"/>
            <x v="3"/>
            <x v="10"/>
          </reference>
        </references>
      </pivotArea>
    </format>
    <format dxfId="876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2"/>
          </reference>
          <reference field="2" count="2">
            <x v="1"/>
            <x v="6"/>
          </reference>
        </references>
      </pivotArea>
    </format>
    <format dxfId="877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3"/>
          </reference>
          <reference field="2" count="2">
            <x v="1"/>
            <x v="7"/>
          </reference>
        </references>
      </pivotArea>
    </format>
    <format dxfId="878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4"/>
          </reference>
          <reference field="2" count="2">
            <x v="1"/>
            <x v="8"/>
          </reference>
        </references>
      </pivotArea>
    </format>
    <format dxfId="879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5"/>
          </reference>
          <reference field="2" count="2">
            <x v="1"/>
            <x v="2"/>
          </reference>
        </references>
      </pivotArea>
    </format>
    <format dxfId="880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6"/>
          </reference>
          <reference field="2" count="3">
            <x v="1"/>
            <x v="4"/>
            <x v="5"/>
          </reference>
        </references>
      </pivotArea>
    </format>
    <format dxfId="881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7"/>
          </reference>
          <reference field="2" count="2">
            <x v="1"/>
            <x v="9"/>
          </reference>
        </references>
      </pivotArea>
    </format>
    <format dxfId="88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11"/>
          </reference>
        </references>
      </pivotArea>
    </format>
    <format dxfId="88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88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88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88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88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88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88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89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89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89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89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89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89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89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89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89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89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10"/>
          </reference>
        </references>
      </pivotArea>
    </format>
    <format dxfId="90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90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90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903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90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90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90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90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90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90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91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91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91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913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91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91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916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9"/>
          </reference>
        </references>
      </pivotArea>
    </format>
    <format dxfId="91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918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91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920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921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922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923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924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925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926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92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928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92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930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931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932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93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8"/>
          </reference>
        </references>
      </pivotArea>
    </format>
    <format dxfId="93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93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93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937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93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939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940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94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942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94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94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94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94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947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94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949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95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7"/>
          </reference>
        </references>
      </pivotArea>
    </format>
    <format dxfId="951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952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953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954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955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956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95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95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959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96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961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962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963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964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965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966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96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6"/>
          </reference>
        </references>
      </pivotArea>
    </format>
    <format dxfId="96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96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97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97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97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97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97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97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97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97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97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97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98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98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98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98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984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5"/>
          </reference>
        </references>
      </pivotArea>
    </format>
    <format dxfId="985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986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987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988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989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990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991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992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993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994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995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996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997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998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999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000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001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002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003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004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005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006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007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008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009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010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011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012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013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014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015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016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017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018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019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020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021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022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023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024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025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026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027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028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029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030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031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032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033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034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035">
      <pivotArea dataOnly="0" labelOnly="1" outline="0" fieldPosition="0">
        <references count="1">
          <reference field="4294967294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036">
      <pivotArea dataOnly="0" labelOnly="1" outline="0" fieldPosition="0">
        <references count="1">
          <reference field="3" count="0"/>
        </references>
      </pivotArea>
    </format>
    <format dxfId="1037">
      <pivotArea dataOnly="0" labelOnly="1" outline="0" fieldPosition="0">
        <references count="1">
          <reference field="3" count="0"/>
        </references>
      </pivotArea>
    </format>
    <format dxfId="1038">
      <pivotArea outline="0" collapsedLevelsAreSubtotals="1" fieldPosition="0">
        <references count="1">
          <reference field="4294967294" count="4" selected="0">
            <x v="0"/>
            <x v="1"/>
            <x v="2"/>
            <x v="3"/>
          </reference>
        </references>
      </pivotArea>
    </format>
    <format dxfId="1039">
      <pivotArea field="3" type="button" dataOnly="0" labelOnly="1" outline="0" axis="axisRow" fieldPosition="3"/>
    </format>
    <format dxfId="104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11"/>
          </reference>
        </references>
      </pivotArea>
    </format>
    <format dxfId="104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04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04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04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04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04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04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04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04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05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05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05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05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05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05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05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05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10"/>
          </reference>
        </references>
      </pivotArea>
    </format>
    <format dxfId="105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05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06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06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06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063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06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06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06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06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06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06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07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07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07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073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074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9"/>
          </reference>
        </references>
      </pivotArea>
    </format>
    <format dxfId="1075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076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07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078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07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080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081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082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083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084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085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086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08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088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08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090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09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8"/>
          </reference>
        </references>
      </pivotArea>
    </format>
    <format dxfId="1092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09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09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09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09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097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09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099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100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10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102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10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10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10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10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107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10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7"/>
          </reference>
        </references>
      </pivotArea>
    </format>
    <format dxfId="1109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11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111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112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113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114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115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116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11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11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119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12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121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122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123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124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12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6"/>
          </reference>
        </references>
      </pivotArea>
    </format>
    <format dxfId="112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12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12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12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13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13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13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13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13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13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13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13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13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13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14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14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142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5"/>
          </reference>
        </references>
      </pivotArea>
    </format>
    <format dxfId="1143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144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145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146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147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148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149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150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151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152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153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154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155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156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157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158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159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160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161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162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163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164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165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166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167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168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169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170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171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172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173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174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175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176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177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178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179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180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181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182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183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184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185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186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187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188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189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190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191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192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19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194">
      <pivotArea outline="0" fieldPosition="0">
        <references count="1">
          <reference field="4294967294" count="1">
            <x v="4"/>
          </reference>
        </references>
      </pivotArea>
    </format>
    <format dxfId="1195">
      <pivotArea outline="0" fieldPosition="0">
        <references count="1">
          <reference field="4294967294" count="1">
            <x v="6"/>
          </reference>
        </references>
      </pivotArea>
    </format>
    <format dxfId="1196">
      <pivotArea outline="0" collapsedLevelsAreSubtotals="1" fieldPosition="0"/>
    </format>
    <format dxfId="119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11"/>
          </reference>
        </references>
      </pivotArea>
    </format>
    <format dxfId="119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19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20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20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20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20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20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20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20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20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20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20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21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21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21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21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21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10"/>
          </reference>
        </references>
      </pivotArea>
    </format>
    <format dxfId="121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21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21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21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21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22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22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22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223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22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22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22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22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22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22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23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231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9"/>
          </reference>
        </references>
      </pivotArea>
    </format>
    <format dxfId="1232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233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234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235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236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23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238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23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240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241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242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243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244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245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246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24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24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8"/>
          </reference>
        </references>
      </pivotArea>
    </format>
    <format dxfId="1249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250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25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252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25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25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25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25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257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25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259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260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26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262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26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26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265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7"/>
          </reference>
        </references>
      </pivotArea>
    </format>
    <format dxfId="1266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26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26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269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27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271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272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273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274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275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276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27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27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279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28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281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28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6"/>
          </reference>
        </references>
      </pivotArea>
    </format>
    <format dxfId="128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28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28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28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28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28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28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29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29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29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29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29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29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29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29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29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299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5"/>
          </reference>
        </references>
      </pivotArea>
    </format>
    <format dxfId="1300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301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302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303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304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305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306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307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308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309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310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311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312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313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314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315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316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317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318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319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320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321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322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323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324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325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326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327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328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329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330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331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332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333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334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335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336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337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338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339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340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341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342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343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344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345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346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347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348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349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350">
      <pivotArea field="3" type="button" dataOnly="0" labelOnly="1" outline="0" axis="axisRow" fieldPosition="3"/>
    </format>
    <format dxfId="135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11"/>
          </reference>
        </references>
      </pivotArea>
    </format>
    <format dxfId="135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35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35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35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35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35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358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359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360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361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362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36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36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36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366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367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36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10"/>
          </reference>
        </references>
      </pivotArea>
    </format>
    <format dxfId="136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37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37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37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373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37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375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376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377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378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379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380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381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38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383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38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385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9"/>
          </reference>
        </references>
      </pivotArea>
    </format>
    <format dxfId="1386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38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388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38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390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391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392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393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394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395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396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397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398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39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400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401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402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8"/>
          </reference>
        </references>
      </pivotArea>
    </format>
    <format dxfId="140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40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40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40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407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40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409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410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411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412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413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414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415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416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417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41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419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7"/>
          </reference>
        </references>
      </pivotArea>
    </format>
    <format dxfId="142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421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422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423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424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425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426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427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42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429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430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431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432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433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434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435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43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6"/>
          </reference>
        </references>
      </pivotArea>
    </format>
    <format dxfId="143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43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43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44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44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44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443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444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445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446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44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448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449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45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451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452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453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5"/>
          </reference>
        </references>
      </pivotArea>
    </format>
    <format dxfId="1454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455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456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457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458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459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460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461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462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463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464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465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466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467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468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469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470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4"/>
          </reference>
        </references>
      </pivotArea>
    </format>
    <format dxfId="1471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472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473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474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475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476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477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478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479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480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481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482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483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484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485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486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  <format dxfId="1487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3"/>
          </reference>
        </references>
      </pivotArea>
    </format>
    <format dxfId="1488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1"/>
          </reference>
          <reference field="3" count="1">
            <x v="0"/>
          </reference>
        </references>
      </pivotArea>
    </format>
    <format dxfId="1489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3"/>
          </reference>
          <reference field="3" count="1">
            <x v="20"/>
          </reference>
        </references>
      </pivotArea>
    </format>
    <format dxfId="1490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9"/>
          </reference>
        </references>
      </pivotArea>
    </format>
    <format dxfId="1491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2"/>
          </reference>
          <reference field="2" count="1" selected="0">
            <x v="1"/>
          </reference>
          <reference field="3" count="1">
            <x v="14"/>
          </reference>
        </references>
      </pivotArea>
    </format>
    <format dxfId="1492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2"/>
          </reference>
          <reference field="2" count="1" selected="0">
            <x v="6"/>
          </reference>
          <reference field="3" count="1">
            <x v="14"/>
          </reference>
        </references>
      </pivotArea>
    </format>
    <format dxfId="1493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3"/>
          </reference>
          <reference field="2" count="1" selected="0">
            <x v="1"/>
          </reference>
          <reference field="3" count="1">
            <x v="15"/>
          </reference>
        </references>
      </pivotArea>
    </format>
    <format dxfId="1494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3"/>
          </reference>
          <reference field="2" count="1" selected="0">
            <x v="7"/>
          </reference>
          <reference field="3" count="1">
            <x v="15"/>
          </reference>
        </references>
      </pivotArea>
    </format>
    <format dxfId="1495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"/>
          </reference>
          <reference field="2" count="1" selected="0">
            <x v="1"/>
          </reference>
          <reference field="3" count="1">
            <x v="16"/>
          </reference>
        </references>
      </pivotArea>
    </format>
    <format dxfId="1496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4"/>
          </reference>
          <reference field="2" count="1" selected="0">
            <x v="8"/>
          </reference>
          <reference field="3" count="1">
            <x v="16"/>
          </reference>
        </references>
      </pivotArea>
    </format>
    <format dxfId="1497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5"/>
          </reference>
          <reference field="2" count="1" selected="0">
            <x v="1"/>
          </reference>
          <reference field="3" count="1">
            <x v="17"/>
          </reference>
        </references>
      </pivotArea>
    </format>
    <format dxfId="1498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1499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2" count="1" selected="0">
            <x v="1"/>
          </reference>
          <reference field="3" count="1">
            <x v="2"/>
          </reference>
        </references>
      </pivotArea>
    </format>
    <format dxfId="1500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2" count="1" selected="0">
            <x v="4"/>
          </reference>
          <reference field="3" count="1">
            <x v="12"/>
          </reference>
        </references>
      </pivotArea>
    </format>
    <format dxfId="1501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6"/>
          </reference>
          <reference field="2" count="1" selected="0">
            <x v="5"/>
          </reference>
          <reference field="3" count="1">
            <x v="13"/>
          </reference>
        </references>
      </pivotArea>
    </format>
    <format dxfId="1502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7"/>
          </reference>
          <reference field="2" count="1" selected="0">
            <x v="1"/>
          </reference>
          <reference field="3" count="1">
            <x v="18"/>
          </reference>
        </references>
      </pivotArea>
    </format>
    <format dxfId="1503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7"/>
          </reference>
          <reference field="2" count="1" selected="0">
            <x v="9"/>
          </reference>
          <reference field="3" count="1">
            <x v="18"/>
          </reference>
        </references>
      </pivotArea>
    </format>
  </formats>
  <pivotTableStyleInfo name="PivotTable Style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postgres loaixd2" connectionId="8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  <queryTableField id="9" name="r_type" tableColumnId="9"/>
      <queryTableField id="10" name="ut2" tableColumnId="10"/>
      <queryTableField id="11" name="petroleum_type_id" tableColumnId="11"/>
    </queryTableFields>
  </queryTableRefresh>
</queryTable>
</file>

<file path=xl/queryTables/queryTable2.xml><?xml version="1.0" encoding="utf-8"?>
<queryTable xmlns="http://schemas.openxmlformats.org/spreadsheetml/2006/main" name="postgres assignment_type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id" tableColumnId="1"/>
      <queryTableField id="2" name="name" tableColumnId="2"/>
    </queryTableFields>
  </queryTableRefresh>
</queryTable>
</file>

<file path=xl/queryTables/queryTable3.xml><?xml version="1.0" encoding="utf-8"?>
<queryTable xmlns="http://schemas.openxmlformats.org/spreadsheetml/2006/main" name="postgres petroleum_type" connectionId="12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name" tableColumnId="2"/>
      <queryTableField id="3" name="type" tableColumnId="3"/>
      <queryTableField id="4" name="r_type" tableColumnId="4"/>
    </queryTableFields>
  </queryTableRefresh>
</queryTable>
</file>

<file path=xl/queryTables/queryTable4.xml><?xml version="1.0" encoding="utf-8"?>
<queryTable xmlns="http://schemas.openxmlformats.org/spreadsheetml/2006/main" name="postgres nguon_nx" connectionId="9" autoFormatId="16" applyNumberFormats="0" applyBorderFormats="0" applyFontFormats="0" applyPatternFormats="0" applyAlignmentFormats="0" applyWidthHeightFormats="0">
  <queryTableRefresh nextId="7">
    <queryTableFields count="3">
      <queryTableField id="1" name="id" tableColumnId="1"/>
      <queryTableField id="2" name="ten" tableColumnId="2"/>
      <queryTableField id="4" name="createtime" tableColumnId="4"/>
    </queryTableFields>
  </queryTableRefresh>
</queryTable>
</file>

<file path=xl/queryTables/queryTable5.xml><?xml version="1.0" encoding="utf-8"?>
<queryTable xmlns="http://schemas.openxmlformats.org/spreadsheetml/2006/main" name="postgres tructhuoc" connectionId="14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name" tableColumnId="2"/>
      <queryTableField id="3" name="type" tableColumnId="3"/>
      <queryTableField id="4" name="timestamp" tableColumnId="4"/>
    </queryTableFields>
  </queryTableRefresh>
</queryTable>
</file>

<file path=xl/queryTables/queryTable6.xml><?xml version="1.0" encoding="utf-8"?>
<queryTable xmlns="http://schemas.openxmlformats.org/spreadsheetml/2006/main" name="postgres ledgers" connectionId="7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quarter_id" tableColumnId="2"/>
      <queryTableField id="3" name="bill_id" tableColumnId="3"/>
      <queryTableField id="4" name="amount" tableColumnId="4"/>
      <queryTableField id="5" name="from_date" tableColumnId="5"/>
      <queryTableField id="6" name="end_date" tableColumnId="6"/>
      <queryTableField id="7" name="status" tableColumnId="7"/>
      <queryTableField id="8" name="bill_type_id" tableColumnId="8"/>
    </queryTableFields>
  </queryTableRefresh>
</queryTable>
</file>

<file path=xl/queryTables/queryTable7.xml><?xml version="1.0" encoding="utf-8"?>
<queryTable xmlns="http://schemas.openxmlformats.org/spreadsheetml/2006/main" name="postgres ledger_details_1" connectionId="6" autoFormatId="16" applyNumberFormats="0" applyBorderFormats="0" applyFontFormats="0" applyPatternFormats="0" applyAlignmentFormats="0" applyWidthHeightFormats="0">
  <queryTableRefresh nextId="51">
    <queryTableFields count="50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phuongtien_id" tableColumnId="36"/>
      <queryTableField id="37" name="phuongtien_nvu_id" tableColumnId="37"/>
      <queryTableField id="38" name="so_phut" tableColumnId="38"/>
      <queryTableField id="39" name="tonkhotong_id" tableColumnId="39"/>
      <queryTableField id="40" name="tonkho_id" tableColumnId="40"/>
      <queryTableField id="41" name="ledger_id" tableColumnId="41"/>
      <queryTableField id="42" name="import_unit_id" tableColumnId="42"/>
      <queryTableField id="43" name="export_unit_id" tableColumnId="43"/>
      <queryTableField id="44" name="loaigiobay" tableColumnId="44"/>
      <queryTableField id="45" name="dur" tableColumnId="45"/>
      <queryTableField id="46" name="dur_text" tableColumnId="46"/>
      <queryTableField id="47" name="thuc_xuat_tk" tableColumnId="47"/>
      <queryTableField id="48" name="dur_text_tk" tableColumnId="48"/>
      <queryTableField id="49" name="nhiemvu_hanmuc_id" tableColumnId="49"/>
      <queryTableField id="50" name="so_luong" tableColumnId="50"/>
    </queryTableFields>
  </queryTableRefresh>
</queryTable>
</file>

<file path=xl/queryTables/queryTable8.xml><?xml version="1.0" encoding="utf-8"?>
<queryTable xmlns="http://schemas.openxmlformats.org/spreadsheetml/2006/main" name="postgres team" connectionId="13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team_code" tableColumnId="3"/>
    </queryTableFields>
  </queryTableRefresh>
</queryTable>
</file>

<file path=xl/queryTables/queryTable9.xml><?xml version="1.0" encoding="utf-8"?>
<queryTable xmlns="http://schemas.openxmlformats.org/spreadsheetml/2006/main" name="postgres nhiemvu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ten_nv" tableColumnId="2"/>
      <queryTableField id="3" name="chitiet" tableColumnId="3"/>
      <queryTableField id="4" name="hm_trenkhong" tableColumnId="4"/>
      <queryTableField id="5" name="hm_matdat" tableColumnId="5"/>
      <queryTableField id="6" name="createtime" tableColumnId="6"/>
      <queryTableField id="7" name="status" tableColumnId="7"/>
      <queryTableField id="8" name="team_id" tableColumnId="8"/>
      <queryTableField id="9" name="assignment_type_id" tableColumnId="9"/>
    </queryTableFields>
  </queryTableRefresh>
</queryTable>
</file>

<file path=xl/queryTables/queryTable10.xml><?xml version="1.0" encoding="utf-8"?>
<queryTable xmlns="http://schemas.openxmlformats.org/spreadsheetml/2006/main" name="postgres chitiet_nhiemvu" connectionId="3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hiemvu_id" tableColumnId="2"/>
      <queryTableField id="3" name="nhiemvu" tableColumnId="3"/>
    </queryTableFields>
  </queryTableRefresh>
</queryTable>
</file>

<file path=xl/queryTables/queryTable11.xml><?xml version="1.0" encoding="utf-8"?>
<queryTable xmlns="http://schemas.openxmlformats.org/spreadsheetml/2006/main" name="postgres hanmuc_nhiemvu" connectionId="4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quarter_id" tableColumnId="2"/>
      <queryTableField id="3" name="unit_id" tableColumnId="3"/>
      <queryTableField id="4" name="nhiemvu_id" tableColumnId="4"/>
      <queryTableField id="5" name="ct_tk" tableColumnId="5"/>
      <queryTableField id="6" name="ct_md" tableColumnId="6"/>
      <queryTableField id="8" name="consumpt" tableColumnId="8"/>
    </queryTableFields>
  </queryTableRefresh>
</queryTable>
</file>

<file path=xl/queryTables/queryTable12.xml><?xml version="1.0" encoding="utf-8"?>
<queryTable xmlns="http://schemas.openxmlformats.org/spreadsheetml/2006/main" name="ExternalData_1" connectionId="17" autoFormatId="0" applyNumberFormats="0" applyBorderFormats="0" applyFontFormats="1" applyPatternFormats="1" applyAlignmentFormats="0" applyWidthHeightFormats="0">
  <queryTableRefresh preserveSortFilterLayout="0" nextId="19" unboundColumnsRight="2">
    <queryTableFields count="18">
      <queryTableField id="1" name="ten" tableColumnId="53"/>
      <queryTableField id="2" name="ten_nv" tableColumnId="54"/>
      <queryTableField id="3" name="nhiemvu" tableColumnId="55"/>
      <queryTableField id="4" name="nhiemvu_2" tableColumnId="56"/>
      <queryTableField id="5" name="consumpt" tableColumnId="57"/>
      <queryTableField id="6" name="ct_md" tableColumnId="58"/>
      <queryTableField id="7" name="ct_tk" tableColumnId="59"/>
      <queryTableField id="8" name="dur_text" tableColumnId="60"/>
      <queryTableField id="9" name="dur_text_tk" tableColumnId="61"/>
      <queryTableField id="10" name="sum_ct" tableColumnId="62"/>
      <queryTableField id="11" name="sum_gb" tableColumnId="63"/>
      <queryTableField id="12" name="sum_thucxuat" tableColumnId="64"/>
      <queryTableField id="13" name="thuc_xuat" tableColumnId="65"/>
      <queryTableField id="14" name="thuc_xuat_tk" tableColumnId="66"/>
      <queryTableField id="15" name="hao_hut" tableColumnId="67"/>
      <queryTableField id="16" name="Tong_cong" tableColumnId="68"/>
      <queryTableField id="18" dataBound="0" tableColumnId="69"/>
      <queryTableField id="17" dataBound="0" tableColumnId="7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id="2" name="tb_loaixd2" displayName="tb_loaixd2" ref="B2:L53" tableType="queryTable" totalsRowShown="0">
  <autoFilter ref="B2:L53"/>
  <tableColumns count="11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1657"/>
    <tableColumn id="7" uniqueName="7" name="ut" queryTableFieldId="7"/>
    <tableColumn id="8" uniqueName="8" name="type" queryTableFieldId="8"/>
    <tableColumn id="9" uniqueName="9" name="r_type" queryTableFieldId="9"/>
    <tableColumn id="10" uniqueName="10" name="ut2" queryTableFieldId="10"/>
    <tableColumn id="11" uniqueName="11" name="petroleum_type_id" queryTableField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_postgres_assignment_type" displayName="Table_postgres_assignment_type" ref="P8:Q10" tableType="queryTable" totalsRowShown="0">
  <autoFilter ref="P8:Q10"/>
  <tableColumns count="2">
    <tableColumn id="1" uniqueName="1" name="id" queryTableFieldId="1"/>
    <tableColumn id="2" uniqueName="2" name="name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4" name="Table_postgres_petroleum_type" displayName="Table_postgres_petroleum_type" ref="S8:V21" tableType="queryTable" totalsRowShown="0">
  <autoFilter ref="S8:V21"/>
  <tableColumns count="4">
    <tableColumn id="1" uniqueName="1" name="id" queryTableFieldId="1"/>
    <tableColumn id="2" uniqueName="2" name="name" queryTableFieldId="2"/>
    <tableColumn id="3" uniqueName="3" name="type" queryTableFieldId="3"/>
    <tableColumn id="4" uniqueName="4" name="r_type" queryTableFieldId="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b_nguon_nx" displayName="tb_nguon_nx" ref="A1:C37" tableType="queryTable" totalsRowShown="0">
  <autoFilter ref="A1:C37"/>
  <tableColumns count="3">
    <tableColumn id="1" uniqueName="1" name="id" queryTableFieldId="1"/>
    <tableColumn id="2" uniqueName="2" name="ten" queryTableFieldId="2"/>
    <tableColumn id="4" uniqueName="4" name="createtime" queryTableFieldId="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Table_postgres_tructhuoc" displayName="Table_postgres_tructhuoc" ref="F4:I18" tableType="queryTable" totalsRowShown="0">
  <autoFilter ref="F4:I18"/>
  <tableColumns count="4">
    <tableColumn id="1" uniqueName="1" name="id" queryTableFieldId="1"/>
    <tableColumn id="2" uniqueName="2" name="name" queryTableFieldId="2"/>
    <tableColumn id="3" uniqueName="3" name="type" queryTableFieldId="3"/>
    <tableColumn id="4" uniqueName="4" name="timestamp" queryTableFieldId="4" dataDxfId="165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5" name="Table_postgres_ledgers" displayName="Table_postgres_ledgers" ref="BD3:BK18" tableType="queryTable" totalsRowShown="0">
  <autoFilter ref="BD3:BK18"/>
  <tableColumns count="8">
    <tableColumn id="1" uniqueName="1" name="id" queryTableFieldId="1"/>
    <tableColumn id="2" uniqueName="2" name="quarter_id" queryTableFieldId="2"/>
    <tableColumn id="3" uniqueName="3" name="bill_id" queryTableFieldId="3"/>
    <tableColumn id="4" uniqueName="4" name="amount" queryTableFieldId="4"/>
    <tableColumn id="5" uniqueName="5" name="from_date" queryTableFieldId="5" dataDxfId="1655"/>
    <tableColumn id="6" uniqueName="6" name="end_date" queryTableFieldId="6" dataDxfId="1654"/>
    <tableColumn id="7" uniqueName="7" name="status" queryTableFieldId="7"/>
    <tableColumn id="8" uniqueName="8" name="bill_type_id" queryTableField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ledger_detail" displayName="ledger_detail" ref="B3:AY22" tableType="queryTable" totalsRowCount="1">
  <autoFilter ref="B3:AY21"/>
  <tableColumns count="50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1653" totalsRowDxfId="1652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phuongtien_id" queryTableFieldId="36"/>
    <tableColumn id="37" uniqueName="37" name="phuongtien_nvu_id" queryTableFieldId="37"/>
    <tableColumn id="38" uniqueName="38" name="so_phut" queryTableFieldId="38"/>
    <tableColumn id="39" uniqueName="39" name="tonkhotong_id" queryTableFieldId="39"/>
    <tableColumn id="40" uniqueName="40" name="tonkho_id" queryTableFieldId="40"/>
    <tableColumn id="41" uniqueName="41" name="ledger_id" queryTableFieldId="41"/>
    <tableColumn id="42" uniqueName="42" name="import_unit_id" queryTableFieldId="42"/>
    <tableColumn id="43" uniqueName="43" name="export_unit_id" queryTableFieldId="43"/>
    <tableColumn id="44" uniqueName="44" name="loaigiobay" queryTableFieldId="44"/>
    <tableColumn id="45" uniqueName="45" name="dur" queryTableFieldId="45" dataDxfId="1651" totalsRowDxfId="1650"/>
    <tableColumn id="46" uniqueName="46" name="dur_text" queryTableFieldId="46" dataDxfId="1649"/>
    <tableColumn id="47" uniqueName="47" name="thuc_xuat_tk" queryTableFieldId="47" dataDxfId="1648"/>
    <tableColumn id="48" uniqueName="48" name="dur_text_tk" queryTableFieldId="48" dataDxfId="1647"/>
    <tableColumn id="49" uniqueName="49" name="nhiemvu_hanmuc_id" queryTableFieldId="49" dataDxfId="1646" totalsRowDxfId="1645"/>
    <tableColumn id="50" uniqueName="50" name="so_luong" queryTableFieldId="50" dataDxfId="164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eam_tb" displayName="team_tb" ref="D11:F16" tableType="queryTable" totalsRowShown="0">
  <autoFilter ref="D11:F16"/>
  <tableColumns count="3">
    <tableColumn id="1" uniqueName="1" name="id" queryTableFieldId="1"/>
    <tableColumn id="2" uniqueName="2" name="name" queryTableFieldId="2"/>
    <tableColumn id="3" uniqueName="3" name="team_cod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nv_tb" displayName="nv_tb" ref="I11:Q51" tableType="queryTable" totalsRowShown="0">
  <autoFilter ref="I11:Q51"/>
  <tableColumns count="9">
    <tableColumn id="1" uniqueName="1" name="id" queryTableFieldId="1"/>
    <tableColumn id="2" uniqueName="2" name="ten_nv" queryTableFieldId="2"/>
    <tableColumn id="3" uniqueName="3" name="chitiet" queryTableFieldId="3"/>
    <tableColumn id="4" uniqueName="4" name="hm_trenkhong" queryTableFieldId="4"/>
    <tableColumn id="5" uniqueName="5" name="hm_matdat" queryTableFieldId="5"/>
    <tableColumn id="6" uniqueName="6" name="createtime" queryTableFieldId="6"/>
    <tableColumn id="7" uniqueName="7" name="status" queryTableFieldId="7"/>
    <tableColumn id="8" uniqueName="8" name="team_id" queryTableFieldId="8"/>
    <tableColumn id="9" uniqueName="9" name="assignment_type_id" queryTableField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ctnv_tb" displayName="ctnv_tb" ref="S11:U59" tableType="queryTable" totalsRowShown="0">
  <autoFilter ref="S11:U59"/>
  <tableColumns count="3">
    <tableColumn id="1" uniqueName="1" name="id" queryTableFieldId="1"/>
    <tableColumn id="2" uniqueName="2" name="nhiemvu_id" queryTableFieldId="2"/>
    <tableColumn id="3" uniqueName="3" name="nhiemvu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hanmuc_nhiemvu" displayName="hanmuc_nhiemvu" ref="X11:AD92" tableType="queryTable" totalsRowShown="0">
  <autoFilter ref="X11:AD92"/>
  <tableColumns count="7">
    <tableColumn id="1" uniqueName="1" name="id" queryTableFieldId="1"/>
    <tableColumn id="2" uniqueName="2" name="quarter_id" queryTableFieldId="2"/>
    <tableColumn id="3" uniqueName="3" name="unit_id" queryTableFieldId="3"/>
    <tableColumn id="4" uniqueName="4" name="nhiemvu_id" queryTableFieldId="4"/>
    <tableColumn id="5" uniqueName="5" name="ct_tk" queryTableFieldId="5" dataDxfId="1643"/>
    <tableColumn id="6" uniqueName="6" name="ct_md" queryTableFieldId="6" dataDxfId="1642"/>
    <tableColumn id="8" uniqueName="8" name="consumpt" queryTableField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0" name="hanmuc_nhiemvu__2" displayName="hanmuc_nhiemvu__2" ref="B2:S160" tableType="queryTable" totalsRowShown="0" headerRowDxfId="1505">
  <autoFilter ref="B2:S160"/>
  <tableColumns count="18">
    <tableColumn id="53" uniqueName="53" name="ten" queryTableFieldId="1" dataDxfId="760"/>
    <tableColumn id="54" uniqueName="54" name="ten_nv" queryTableFieldId="2" dataDxfId="759"/>
    <tableColumn id="55" uniqueName="55" name="nhiemvu" queryTableFieldId="3" dataDxfId="758"/>
    <tableColumn id="56" uniqueName="56" name="nhiemvu_2" queryTableFieldId="4" dataDxfId="757"/>
    <tableColumn id="57" uniqueName="57" name="consumpt" queryTableFieldId="5" dataDxfId="756"/>
    <tableColumn id="58" uniqueName="58" name="ct_md" queryTableFieldId="6" dataDxfId="755"/>
    <tableColumn id="59" uniqueName="59" name="ct_tk" queryTableFieldId="7" dataDxfId="754"/>
    <tableColumn id="60" uniqueName="60" name="dur_text" queryTableFieldId="8" dataDxfId="753"/>
    <tableColumn id="61" uniqueName="61" name="dur_text_tk" queryTableFieldId="9" dataDxfId="752"/>
    <tableColumn id="62" uniqueName="62" name="sum_ct" queryTableFieldId="10" dataDxfId="751"/>
    <tableColumn id="63" uniqueName="63" name="sum_gb" queryTableFieldId="11" dataDxfId="750"/>
    <tableColumn id="64" uniqueName="64" name="sum_thucxuat" queryTableFieldId="12" dataDxfId="749"/>
    <tableColumn id="65" uniqueName="65" name="thuc_xuat" queryTableFieldId="13" dataDxfId="748"/>
    <tableColumn id="66" uniqueName="66" name="thuc_xuat_tk" queryTableFieldId="14" dataDxfId="747"/>
    <tableColumn id="67" uniqueName="67" name="hao_hut" queryTableFieldId="15" dataDxfId="746"/>
    <tableColumn id="68" uniqueName="68" name="Tong_cong" queryTableFieldId="16" dataDxfId="745"/>
    <tableColumn id="69" uniqueName="69" name="Column1" queryTableFieldId="18" dataDxfId="744"/>
    <tableColumn id="70" uniqueName="70" name="Column2" queryTableFieldId="17" dataDxfId="74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AE293"/>
  <sheetViews>
    <sheetView showGridLines="0" topLeftCell="P1" workbookViewId="0">
      <selection activeCell="C6" sqref="C6:AE8"/>
    </sheetView>
  </sheetViews>
  <sheetFormatPr defaultRowHeight="15" x14ac:dyDescent="0.25"/>
  <cols>
    <col min="2" max="2" width="3.5703125" style="51" bestFit="1" customWidth="1"/>
    <col min="3" max="3" width="15.28515625" bestFit="1" customWidth="1"/>
    <col min="4" max="6" width="14.42578125" style="53" customWidth="1"/>
    <col min="7" max="7" width="12.28515625" style="75" customWidth="1"/>
    <col min="8" max="10" width="12" style="53" customWidth="1"/>
    <col min="11" max="11" width="14.42578125" style="50" customWidth="1"/>
    <col min="12" max="12" width="13.7109375" style="50" customWidth="1"/>
    <col min="13" max="13" width="12" style="85" customWidth="1"/>
    <col min="14" max="14" width="16.42578125" style="85" customWidth="1"/>
    <col min="15" max="15" width="12.42578125" style="85" customWidth="1"/>
    <col min="16" max="16" width="15.7109375" style="50" customWidth="1"/>
    <col min="17" max="18" width="11.7109375" customWidth="1"/>
    <col min="19" max="26" width="11.28515625" customWidth="1"/>
    <col min="27" max="29" width="10.140625" customWidth="1"/>
    <col min="30" max="31" width="8.85546875" customWidth="1"/>
    <col min="32" max="33" width="15.7109375" customWidth="1"/>
  </cols>
  <sheetData>
    <row r="3" spans="1:31" ht="37.5" customHeight="1" x14ac:dyDescent="0.25">
      <c r="B3" s="121" t="s">
        <v>332</v>
      </c>
      <c r="C3" s="121"/>
      <c r="D3" s="121"/>
      <c r="E3" s="121"/>
      <c r="F3" s="121"/>
      <c r="G3" s="121"/>
      <c r="I3" s="121" t="s">
        <v>333</v>
      </c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AC3" s="124" t="s">
        <v>334</v>
      </c>
      <c r="AD3" s="125"/>
      <c r="AE3" s="125"/>
    </row>
    <row r="5" spans="1:31" ht="15.75" thickBot="1" x14ac:dyDescent="0.3"/>
    <row r="6" spans="1:31" ht="30" customHeight="1" thickTop="1" x14ac:dyDescent="0.25">
      <c r="A6" s="44"/>
      <c r="B6" s="122" t="s">
        <v>203</v>
      </c>
      <c r="C6" s="118" t="s">
        <v>315</v>
      </c>
      <c r="D6" s="120" t="s">
        <v>316</v>
      </c>
      <c r="E6" s="120"/>
      <c r="F6" s="120"/>
      <c r="G6" s="120"/>
      <c r="H6" s="120" t="s">
        <v>318</v>
      </c>
      <c r="I6" s="120"/>
      <c r="J6" s="120"/>
      <c r="K6" s="118" t="s">
        <v>320</v>
      </c>
      <c r="L6" s="118"/>
      <c r="M6" s="118"/>
      <c r="N6" s="118"/>
      <c r="O6" s="118"/>
      <c r="P6" s="118"/>
      <c r="Q6" s="118" t="s">
        <v>321</v>
      </c>
      <c r="R6" s="118" t="s">
        <v>322</v>
      </c>
      <c r="S6" s="118" t="s">
        <v>323</v>
      </c>
      <c r="T6" s="118"/>
      <c r="U6" s="118"/>
      <c r="V6" s="118"/>
      <c r="W6" s="118" t="s">
        <v>328</v>
      </c>
      <c r="X6" s="118"/>
      <c r="Y6" s="118" t="s">
        <v>327</v>
      </c>
      <c r="Z6" s="118"/>
      <c r="AA6" s="118" t="s">
        <v>329</v>
      </c>
      <c r="AB6" s="118"/>
      <c r="AC6" s="118"/>
      <c r="AD6" s="118"/>
      <c r="AE6" s="126" t="s">
        <v>331</v>
      </c>
    </row>
    <row r="7" spans="1:31" x14ac:dyDescent="0.25">
      <c r="A7" s="44"/>
      <c r="B7" s="123"/>
      <c r="C7" s="119"/>
      <c r="D7" s="116" t="s">
        <v>317</v>
      </c>
      <c r="E7" s="116"/>
      <c r="F7" s="116"/>
      <c r="G7" s="117" t="s">
        <v>191</v>
      </c>
      <c r="H7" s="116" t="s">
        <v>319</v>
      </c>
      <c r="I7" s="116" t="s">
        <v>288</v>
      </c>
      <c r="J7" s="116" t="s">
        <v>303</v>
      </c>
      <c r="K7" s="119" t="s">
        <v>319</v>
      </c>
      <c r="L7" s="119" t="s">
        <v>288</v>
      </c>
      <c r="M7" s="84"/>
      <c r="N7" s="84"/>
      <c r="O7" s="84"/>
      <c r="P7" s="119" t="s">
        <v>303</v>
      </c>
      <c r="Q7" s="119"/>
      <c r="R7" s="119"/>
      <c r="S7" s="119" t="s">
        <v>317</v>
      </c>
      <c r="T7" s="119"/>
      <c r="U7" s="119" t="s">
        <v>324</v>
      </c>
      <c r="V7" s="119"/>
      <c r="W7" s="119" t="s">
        <v>291</v>
      </c>
      <c r="X7" s="119" t="s">
        <v>289</v>
      </c>
      <c r="Y7" s="119" t="s">
        <v>291</v>
      </c>
      <c r="Z7" s="119" t="s">
        <v>289</v>
      </c>
      <c r="AA7" s="119" t="s">
        <v>290</v>
      </c>
      <c r="AB7" s="119"/>
      <c r="AC7" s="119" t="s">
        <v>288</v>
      </c>
      <c r="AD7" s="119"/>
      <c r="AE7" s="127"/>
    </row>
    <row r="8" spans="1:31" x14ac:dyDescent="0.25">
      <c r="A8" s="44"/>
      <c r="B8" s="123"/>
      <c r="C8" s="119"/>
      <c r="D8" s="71" t="s">
        <v>291</v>
      </c>
      <c r="E8" s="71" t="s">
        <v>289</v>
      </c>
      <c r="F8" s="71" t="s">
        <v>303</v>
      </c>
      <c r="G8" s="117"/>
      <c r="H8" s="116"/>
      <c r="I8" s="116"/>
      <c r="J8" s="116"/>
      <c r="K8" s="119"/>
      <c r="L8" s="119"/>
      <c r="M8" s="84"/>
      <c r="N8" s="84"/>
      <c r="O8" s="84"/>
      <c r="P8" s="119"/>
      <c r="Q8" s="119"/>
      <c r="R8" s="119"/>
      <c r="S8" s="48" t="s">
        <v>325</v>
      </c>
      <c r="T8" s="48" t="s">
        <v>326</v>
      </c>
      <c r="U8" s="48" t="s">
        <v>325</v>
      </c>
      <c r="V8" s="48" t="s">
        <v>326</v>
      </c>
      <c r="W8" s="119"/>
      <c r="X8" s="119"/>
      <c r="Y8" s="119"/>
      <c r="Z8" s="119"/>
      <c r="AA8" s="48" t="s">
        <v>326</v>
      </c>
      <c r="AB8" s="48" t="s">
        <v>330</v>
      </c>
      <c r="AC8" s="48" t="s">
        <v>326</v>
      </c>
      <c r="AD8" s="48" t="s">
        <v>330</v>
      </c>
      <c r="AE8" s="127"/>
    </row>
    <row r="9" spans="1:31" s="15" customFormat="1" ht="14.25" x14ac:dyDescent="0.2">
      <c r="B9" s="58" t="s">
        <v>335</v>
      </c>
      <c r="C9" s="59" t="s">
        <v>336</v>
      </c>
      <c r="D9" s="72"/>
      <c r="E9" s="72"/>
      <c r="F9" s="72"/>
      <c r="G9" s="76"/>
      <c r="H9" s="72"/>
      <c r="I9" s="72"/>
      <c r="J9" s="72"/>
      <c r="K9" s="18"/>
      <c r="L9" s="18"/>
      <c r="M9" s="18"/>
      <c r="N9" s="18"/>
      <c r="O9" s="18"/>
      <c r="P9" s="18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60"/>
    </row>
    <row r="10" spans="1:31" x14ac:dyDescent="0.25">
      <c r="B10" s="68" t="s">
        <v>346</v>
      </c>
      <c r="C10" s="62" t="s">
        <v>337</v>
      </c>
      <c r="D10" s="73"/>
      <c r="E10" s="73"/>
      <c r="F10" s="73"/>
      <c r="G10" s="77"/>
      <c r="H10" s="73"/>
      <c r="I10" s="73"/>
      <c r="J10" s="73"/>
      <c r="K10" s="16"/>
      <c r="L10" s="16"/>
      <c r="M10" s="16"/>
      <c r="N10" s="16"/>
      <c r="O10" s="16"/>
      <c r="P10" s="16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3"/>
    </row>
    <row r="11" spans="1:31" x14ac:dyDescent="0.25">
      <c r="B11" s="68" t="s">
        <v>346</v>
      </c>
      <c r="C11" s="62" t="s">
        <v>338</v>
      </c>
      <c r="D11" s="73"/>
      <c r="E11" s="73"/>
      <c r="F11" s="73"/>
      <c r="G11" s="77"/>
      <c r="H11" s="73"/>
      <c r="I11" s="73"/>
      <c r="J11" s="73"/>
      <c r="K11" s="16"/>
      <c r="L11" s="16"/>
      <c r="M11" s="16"/>
      <c r="N11" s="16"/>
      <c r="O11" s="16"/>
      <c r="P11" s="16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3"/>
    </row>
    <row r="12" spans="1:31" x14ac:dyDescent="0.25">
      <c r="B12" s="68" t="s">
        <v>346</v>
      </c>
      <c r="C12" s="62" t="s">
        <v>287</v>
      </c>
      <c r="D12" s="73"/>
      <c r="E12" s="73"/>
      <c r="F12" s="73"/>
      <c r="G12" s="77"/>
      <c r="H12" s="73"/>
      <c r="I12" s="73"/>
      <c r="J12" s="73"/>
      <c r="K12" s="16"/>
      <c r="L12" s="16"/>
      <c r="M12" s="16"/>
      <c r="N12" s="16"/>
      <c r="O12" s="16"/>
      <c r="P12" s="16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3"/>
    </row>
    <row r="13" spans="1:31" x14ac:dyDescent="0.25">
      <c r="B13" s="68" t="s">
        <v>346</v>
      </c>
      <c r="C13" s="62" t="s">
        <v>139</v>
      </c>
      <c r="D13" s="73"/>
      <c r="E13" s="73"/>
      <c r="F13" s="73"/>
      <c r="G13" s="77"/>
      <c r="H13" s="73"/>
      <c r="I13" s="73"/>
      <c r="J13" s="73"/>
      <c r="K13" s="16"/>
      <c r="L13" s="16"/>
      <c r="M13" s="16"/>
      <c r="N13" s="16"/>
      <c r="O13" s="16"/>
      <c r="P13" s="16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3"/>
    </row>
    <row r="14" spans="1:31" s="15" customFormat="1" ht="14.25" x14ac:dyDescent="0.2">
      <c r="B14" s="58" t="s">
        <v>339</v>
      </c>
      <c r="C14" s="64" t="s">
        <v>340</v>
      </c>
      <c r="D14" s="72"/>
      <c r="E14" s="72"/>
      <c r="F14" s="72"/>
      <c r="G14" s="76"/>
      <c r="H14" s="72"/>
      <c r="I14" s="72"/>
      <c r="J14" s="72"/>
      <c r="K14" s="18"/>
      <c r="L14" s="18"/>
      <c r="M14" s="18"/>
      <c r="N14" s="18"/>
      <c r="O14" s="18"/>
      <c r="P14" s="18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60"/>
    </row>
    <row r="15" spans="1:31" x14ac:dyDescent="0.25">
      <c r="B15" s="61">
        <v>1</v>
      </c>
      <c r="C15" s="62" t="s">
        <v>267</v>
      </c>
      <c r="D15" s="73"/>
      <c r="E15" s="73"/>
      <c r="F15" s="73"/>
      <c r="G15" s="77"/>
      <c r="H15" s="73"/>
      <c r="I15" s="73"/>
      <c r="J15" s="73"/>
      <c r="K15" s="16"/>
      <c r="L15" s="16"/>
      <c r="M15" s="16"/>
      <c r="N15" s="16"/>
      <c r="O15" s="16"/>
      <c r="P15" s="16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3"/>
    </row>
    <row r="16" spans="1:31" x14ac:dyDescent="0.25">
      <c r="B16" s="68" t="s">
        <v>346</v>
      </c>
      <c r="C16" s="62" t="s">
        <v>268</v>
      </c>
      <c r="D16" s="73"/>
      <c r="E16" s="73"/>
      <c r="F16" s="73"/>
      <c r="G16" s="77"/>
      <c r="H16" s="73"/>
      <c r="I16" s="73"/>
      <c r="J16" s="73"/>
      <c r="K16" s="16"/>
      <c r="L16" s="16"/>
      <c r="M16" s="16"/>
      <c r="N16" s="16"/>
      <c r="O16" s="16"/>
      <c r="P16" s="16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3"/>
    </row>
    <row r="17" spans="2:31" x14ac:dyDescent="0.25">
      <c r="B17" s="61">
        <v>2</v>
      </c>
      <c r="C17" s="62" t="s">
        <v>269</v>
      </c>
      <c r="D17" s="73"/>
      <c r="E17" s="73"/>
      <c r="F17" s="73"/>
      <c r="G17" s="77"/>
      <c r="H17" s="73"/>
      <c r="I17" s="73"/>
      <c r="J17" s="73"/>
      <c r="K17" s="16"/>
      <c r="L17" s="16"/>
      <c r="M17" s="16"/>
      <c r="N17" s="16"/>
      <c r="O17" s="16"/>
      <c r="P17" s="16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3"/>
    </row>
    <row r="18" spans="2:31" x14ac:dyDescent="0.25">
      <c r="B18" s="68" t="s">
        <v>346</v>
      </c>
      <c r="C18" s="62" t="s">
        <v>269</v>
      </c>
      <c r="D18" s="73"/>
      <c r="E18" s="73"/>
      <c r="F18" s="73"/>
      <c r="G18" s="77"/>
      <c r="H18" s="73"/>
      <c r="I18" s="73"/>
      <c r="J18" s="73"/>
      <c r="K18" s="16"/>
      <c r="L18" s="16"/>
      <c r="M18" s="16"/>
      <c r="N18" s="16"/>
      <c r="O18" s="16"/>
      <c r="P18" s="16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3"/>
    </row>
    <row r="19" spans="2:31" x14ac:dyDescent="0.25">
      <c r="B19" s="61">
        <v>3</v>
      </c>
      <c r="C19" s="62" t="s">
        <v>270</v>
      </c>
      <c r="D19" s="73"/>
      <c r="E19" s="73"/>
      <c r="F19" s="73"/>
      <c r="G19" s="77"/>
      <c r="H19" s="73"/>
      <c r="I19" s="73"/>
      <c r="J19" s="73"/>
      <c r="K19" s="16"/>
      <c r="L19" s="16"/>
      <c r="M19" s="16"/>
      <c r="N19" s="16"/>
      <c r="O19" s="16"/>
      <c r="P19" s="16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3"/>
    </row>
    <row r="20" spans="2:31" x14ac:dyDescent="0.25">
      <c r="B20" s="61">
        <v>4</v>
      </c>
      <c r="C20" s="62" t="s">
        <v>271</v>
      </c>
      <c r="D20" s="73"/>
      <c r="E20" s="73"/>
      <c r="F20" s="73"/>
      <c r="G20" s="77"/>
      <c r="H20" s="73"/>
      <c r="I20" s="73"/>
      <c r="J20" s="73"/>
      <c r="K20" s="16"/>
      <c r="L20" s="16"/>
      <c r="M20" s="16"/>
      <c r="N20" s="16"/>
      <c r="O20" s="16"/>
      <c r="P20" s="16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3"/>
    </row>
    <row r="21" spans="2:31" x14ac:dyDescent="0.25">
      <c r="B21" s="61">
        <v>5</v>
      </c>
      <c r="C21" s="62" t="s">
        <v>272</v>
      </c>
      <c r="D21" s="73"/>
      <c r="E21" s="73"/>
      <c r="F21" s="73"/>
      <c r="G21" s="77"/>
      <c r="H21" s="73"/>
      <c r="I21" s="73"/>
      <c r="J21" s="73"/>
      <c r="K21" s="16"/>
      <c r="L21" s="16"/>
      <c r="M21" s="16"/>
      <c r="N21" s="16"/>
      <c r="O21" s="16"/>
      <c r="P21" s="16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3"/>
    </row>
    <row r="22" spans="2:31" x14ac:dyDescent="0.25">
      <c r="B22" s="61">
        <v>6</v>
      </c>
      <c r="C22" s="62" t="s">
        <v>341</v>
      </c>
      <c r="D22" s="73"/>
      <c r="E22" s="73"/>
      <c r="F22" s="73"/>
      <c r="G22" s="77"/>
      <c r="H22" s="73"/>
      <c r="I22" s="73"/>
      <c r="J22" s="73"/>
      <c r="K22" s="16"/>
      <c r="L22" s="16"/>
      <c r="M22" s="16"/>
      <c r="N22" s="16"/>
      <c r="O22" s="16"/>
      <c r="P22" s="16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3"/>
    </row>
    <row r="23" spans="2:31" x14ac:dyDescent="0.25">
      <c r="B23" s="68" t="s">
        <v>346</v>
      </c>
      <c r="C23" s="62" t="s">
        <v>274</v>
      </c>
      <c r="D23" s="73"/>
      <c r="E23" s="73"/>
      <c r="F23" s="73"/>
      <c r="G23" s="77"/>
      <c r="H23" s="73"/>
      <c r="I23" s="73"/>
      <c r="J23" s="73"/>
      <c r="K23" s="16"/>
      <c r="L23" s="16"/>
      <c r="M23" s="16"/>
      <c r="N23" s="16"/>
      <c r="O23" s="16"/>
      <c r="P23" s="16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3"/>
    </row>
    <row r="24" spans="2:31" x14ac:dyDescent="0.25">
      <c r="B24" s="68" t="s">
        <v>346</v>
      </c>
      <c r="C24" s="62" t="s">
        <v>342</v>
      </c>
      <c r="D24" s="73"/>
      <c r="E24" s="73"/>
      <c r="F24" s="73"/>
      <c r="G24" s="77"/>
      <c r="H24" s="73"/>
      <c r="I24" s="73"/>
      <c r="J24" s="73"/>
      <c r="K24" s="16"/>
      <c r="L24" s="16"/>
      <c r="M24" s="16"/>
      <c r="N24" s="16"/>
      <c r="O24" s="16"/>
      <c r="P24" s="16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3"/>
    </row>
    <row r="25" spans="2:31" x14ac:dyDescent="0.25">
      <c r="B25" s="61">
        <v>7</v>
      </c>
      <c r="C25" s="62" t="s">
        <v>134</v>
      </c>
      <c r="D25" s="73"/>
      <c r="E25" s="73"/>
      <c r="F25" s="73"/>
      <c r="G25" s="77"/>
      <c r="H25" s="73"/>
      <c r="I25" s="73"/>
      <c r="J25" s="73"/>
      <c r="K25" s="16"/>
      <c r="L25" s="16"/>
      <c r="M25" s="16"/>
      <c r="N25" s="16"/>
      <c r="O25" s="16"/>
      <c r="P25" s="16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3"/>
    </row>
    <row r="26" spans="2:31" x14ac:dyDescent="0.25">
      <c r="B26" s="58" t="s">
        <v>343</v>
      </c>
      <c r="C26" s="59" t="s">
        <v>344</v>
      </c>
      <c r="D26" s="73"/>
      <c r="E26" s="73"/>
      <c r="F26" s="73"/>
      <c r="G26" s="77"/>
      <c r="H26" s="73"/>
      <c r="I26" s="73"/>
      <c r="J26" s="73"/>
      <c r="K26" s="16"/>
      <c r="L26" s="16"/>
      <c r="M26" s="16"/>
      <c r="N26" s="16"/>
      <c r="O26" s="16"/>
      <c r="P26" s="16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3"/>
    </row>
    <row r="27" spans="2:31" s="15" customFormat="1" ht="14.25" hidden="1" x14ac:dyDescent="0.2">
      <c r="B27" s="58"/>
      <c r="C27" s="57" t="e">
        <f>#REF!</f>
        <v>#REF!</v>
      </c>
      <c r="D27" s="74"/>
      <c r="E27" s="74"/>
      <c r="F27" s="74"/>
      <c r="G27" s="78"/>
      <c r="H27" s="74"/>
      <c r="I27" s="74"/>
      <c r="J27" s="74"/>
      <c r="K27" s="65"/>
      <c r="L27" s="65"/>
      <c r="M27" s="65"/>
      <c r="N27" s="65"/>
      <c r="O27" s="65"/>
      <c r="P27" s="65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60"/>
    </row>
    <row r="28" spans="2:31" hidden="1" x14ac:dyDescent="0.25">
      <c r="B28" s="61"/>
      <c r="C28" s="54" t="e">
        <f>#REF!</f>
        <v>#REF!</v>
      </c>
      <c r="D28" s="71"/>
      <c r="E28" s="70"/>
      <c r="F28" s="70"/>
      <c r="G28" s="79"/>
      <c r="H28" s="71"/>
      <c r="I28" s="70"/>
      <c r="J28" s="70"/>
      <c r="K28" s="49"/>
      <c r="L28" s="55"/>
      <c r="M28" s="55"/>
      <c r="N28" s="55"/>
      <c r="O28" s="55"/>
      <c r="P28" s="55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3"/>
    </row>
    <row r="29" spans="2:31" hidden="1" x14ac:dyDescent="0.25">
      <c r="B29" s="61"/>
      <c r="C29" s="54" t="e">
        <f>#REF!</f>
        <v>#REF!</v>
      </c>
      <c r="D29" s="71"/>
      <c r="E29" s="71"/>
      <c r="F29" s="71"/>
      <c r="G29" s="79"/>
      <c r="H29" s="71"/>
      <c r="I29" s="71"/>
      <c r="J29" s="71"/>
      <c r="K29" s="49"/>
      <c r="L29" s="49"/>
      <c r="M29" s="84"/>
      <c r="N29" s="84"/>
      <c r="O29" s="84"/>
      <c r="P29" s="49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3"/>
    </row>
    <row r="30" spans="2:31" hidden="1" x14ac:dyDescent="0.25">
      <c r="B30" s="61"/>
      <c r="C30" s="54" t="e">
        <f>#REF!</f>
        <v>#REF!</v>
      </c>
      <c r="D30" s="70"/>
      <c r="E30" s="70"/>
      <c r="F30" s="70"/>
      <c r="G30" s="80"/>
      <c r="H30" s="70"/>
      <c r="I30" s="70"/>
      <c r="J30" s="70"/>
      <c r="K30" s="56"/>
      <c r="L30" s="56"/>
      <c r="M30" s="56"/>
      <c r="N30" s="56"/>
      <c r="O30" s="56"/>
      <c r="P30" s="56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3"/>
    </row>
    <row r="31" spans="2:31" hidden="1" x14ac:dyDescent="0.25">
      <c r="B31" s="61"/>
      <c r="C31" s="54" t="e">
        <f>#REF!</f>
        <v>#REF!</v>
      </c>
      <c r="D31" s="70"/>
      <c r="E31" s="70"/>
      <c r="F31" s="70"/>
      <c r="G31" s="80"/>
      <c r="H31" s="70"/>
      <c r="I31" s="70"/>
      <c r="J31" s="70"/>
      <c r="K31" s="56"/>
      <c r="L31" s="56"/>
      <c r="M31" s="56"/>
      <c r="N31" s="56"/>
      <c r="O31" s="56"/>
      <c r="P31" s="56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3"/>
    </row>
    <row r="32" spans="2:31" hidden="1" x14ac:dyDescent="0.25">
      <c r="B32" s="61"/>
      <c r="C32" s="54" t="e">
        <f>#REF!</f>
        <v>#REF!</v>
      </c>
      <c r="D32" s="70"/>
      <c r="E32" s="70"/>
      <c r="F32" s="70"/>
      <c r="G32" s="80"/>
      <c r="H32" s="70"/>
      <c r="I32" s="70"/>
      <c r="J32" s="70"/>
      <c r="K32" s="56"/>
      <c r="L32" s="56"/>
      <c r="M32" s="56"/>
      <c r="N32" s="56"/>
      <c r="O32" s="56"/>
      <c r="P32" s="56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3"/>
    </row>
    <row r="33" spans="1:31" hidden="1" x14ac:dyDescent="0.25">
      <c r="B33" s="61"/>
      <c r="C33" s="54" t="e">
        <f>#REF!</f>
        <v>#REF!</v>
      </c>
      <c r="D33" s="70"/>
      <c r="E33" s="70"/>
      <c r="F33" s="70"/>
      <c r="G33" s="80"/>
      <c r="H33" s="70"/>
      <c r="I33" s="70"/>
      <c r="J33" s="70"/>
      <c r="K33" s="56"/>
      <c r="L33" s="56"/>
      <c r="M33" s="56"/>
      <c r="N33" s="56"/>
      <c r="O33" s="56"/>
      <c r="P33" s="56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3"/>
    </row>
    <row r="34" spans="1:31" hidden="1" x14ac:dyDescent="0.25">
      <c r="B34" s="61"/>
      <c r="C34" s="54" t="e">
        <f>#REF!</f>
        <v>#REF!</v>
      </c>
      <c r="D34" s="70"/>
      <c r="E34" s="70"/>
      <c r="F34" s="70"/>
      <c r="G34" s="80"/>
      <c r="H34" s="70"/>
      <c r="I34" s="70"/>
      <c r="J34" s="70"/>
      <c r="K34" s="56"/>
      <c r="L34" s="56"/>
      <c r="M34" s="56"/>
      <c r="N34" s="56"/>
      <c r="O34" s="56"/>
      <c r="P34" s="56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3"/>
    </row>
    <row r="35" spans="1:31" hidden="1" x14ac:dyDescent="0.25">
      <c r="B35" s="61"/>
      <c r="C35" s="54" t="e">
        <f>#REF!</f>
        <v>#REF!</v>
      </c>
      <c r="D35" s="70"/>
      <c r="E35" s="70"/>
      <c r="F35" s="70"/>
      <c r="G35" s="80"/>
      <c r="H35" s="70"/>
      <c r="I35" s="70"/>
      <c r="J35" s="70"/>
      <c r="K35" s="56"/>
      <c r="L35" s="56"/>
      <c r="M35" s="56"/>
      <c r="N35" s="56"/>
      <c r="O35" s="56"/>
      <c r="P35" s="56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3"/>
    </row>
    <row r="36" spans="1:31" hidden="1" x14ac:dyDescent="0.25">
      <c r="B36" s="61"/>
      <c r="C36" s="54" t="e">
        <f>#REF!</f>
        <v>#REF!</v>
      </c>
      <c r="D36" s="70"/>
      <c r="E36" s="70"/>
      <c r="F36" s="70"/>
      <c r="G36" s="80"/>
      <c r="H36" s="70"/>
      <c r="I36" s="70"/>
      <c r="J36" s="70"/>
      <c r="K36" s="56"/>
      <c r="L36" s="56"/>
      <c r="M36" s="56"/>
      <c r="N36" s="56"/>
      <c r="O36" s="56"/>
      <c r="P36" s="56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3"/>
    </row>
    <row r="37" spans="1:31" hidden="1" x14ac:dyDescent="0.25">
      <c r="B37" s="61"/>
      <c r="C37" s="54" t="e">
        <f>#REF!</f>
        <v>#REF!</v>
      </c>
      <c r="D37" s="70"/>
      <c r="E37" s="70"/>
      <c r="F37" s="70"/>
      <c r="G37" s="80"/>
      <c r="H37" s="70"/>
      <c r="I37" s="70"/>
      <c r="J37" s="70"/>
      <c r="K37" s="56"/>
      <c r="L37" s="56"/>
      <c r="M37" s="56"/>
      <c r="N37" s="56"/>
      <c r="O37" s="56"/>
      <c r="P37" s="56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3"/>
    </row>
    <row r="38" spans="1:31" hidden="1" x14ac:dyDescent="0.25">
      <c r="B38" s="61"/>
      <c r="C38" s="54" t="e">
        <f>#REF!</f>
        <v>#REF!</v>
      </c>
      <c r="D38" s="70"/>
      <c r="E38" s="70"/>
      <c r="F38" s="70"/>
      <c r="G38" s="80"/>
      <c r="H38" s="70"/>
      <c r="I38" s="70"/>
      <c r="J38" s="70"/>
      <c r="K38" s="56"/>
      <c r="L38" s="56"/>
      <c r="M38" s="56"/>
      <c r="N38" s="56"/>
      <c r="O38" s="56"/>
      <c r="P38" s="56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3"/>
    </row>
    <row r="39" spans="1:31" hidden="1" x14ac:dyDescent="0.25">
      <c r="B39" s="61"/>
      <c r="C39" s="54" t="e">
        <f>#REF!</f>
        <v>#REF!</v>
      </c>
      <c r="D39" s="70"/>
      <c r="E39" s="70"/>
      <c r="F39" s="70"/>
      <c r="G39" s="80"/>
      <c r="H39" s="70"/>
      <c r="I39" s="70"/>
      <c r="J39" s="70"/>
      <c r="K39" s="56"/>
      <c r="L39" s="56"/>
      <c r="M39" s="56"/>
      <c r="N39" s="56"/>
      <c r="O39" s="56"/>
      <c r="P39" s="56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3"/>
    </row>
    <row r="40" spans="1:31" hidden="1" x14ac:dyDescent="0.25">
      <c r="B40" s="61"/>
      <c r="C40" s="54" t="e">
        <f>#REF!</f>
        <v>#REF!</v>
      </c>
      <c r="D40" s="70"/>
      <c r="E40" s="70"/>
      <c r="F40" s="70"/>
      <c r="G40" s="80"/>
      <c r="H40" s="70"/>
      <c r="I40" s="70"/>
      <c r="J40" s="70"/>
      <c r="K40" s="56"/>
      <c r="L40" s="56"/>
      <c r="M40" s="56"/>
      <c r="N40" s="56"/>
      <c r="O40" s="56"/>
      <c r="P40" s="56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3"/>
    </row>
    <row r="41" spans="1:31" hidden="1" x14ac:dyDescent="0.25">
      <c r="B41" s="61"/>
      <c r="C41" s="54" t="e">
        <f>#REF!</f>
        <v>#REF!</v>
      </c>
      <c r="D41" s="70"/>
      <c r="E41" s="70"/>
      <c r="F41" s="70"/>
      <c r="G41" s="80"/>
      <c r="H41" s="70"/>
      <c r="I41" s="70"/>
      <c r="J41" s="70"/>
      <c r="K41" s="56"/>
      <c r="L41" s="56"/>
      <c r="M41" s="56"/>
      <c r="N41" s="56"/>
      <c r="O41" s="56"/>
      <c r="P41" s="56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3"/>
    </row>
    <row r="42" spans="1:31" hidden="1" x14ac:dyDescent="0.25">
      <c r="B42" s="61"/>
      <c r="C42" s="54" t="e">
        <f>#REF!</f>
        <v>#REF!</v>
      </c>
      <c r="D42" s="70"/>
      <c r="E42" s="70"/>
      <c r="F42" s="70"/>
      <c r="G42" s="80"/>
      <c r="H42" s="70"/>
      <c r="I42" s="70"/>
      <c r="J42" s="70"/>
      <c r="K42" s="56"/>
      <c r="L42" s="56"/>
      <c r="M42" s="56"/>
      <c r="N42" s="56"/>
      <c r="O42" s="56"/>
      <c r="P42" s="56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3"/>
    </row>
    <row r="43" spans="1:31" hidden="1" x14ac:dyDescent="0.25">
      <c r="B43" s="61"/>
      <c r="C43" s="54" t="e">
        <f>#REF!</f>
        <v>#REF!</v>
      </c>
      <c r="D43" s="70"/>
      <c r="E43" s="70"/>
      <c r="F43" s="70"/>
      <c r="G43" s="80"/>
      <c r="H43" s="70"/>
      <c r="I43" s="70"/>
      <c r="J43" s="70"/>
      <c r="K43" s="56"/>
      <c r="L43" s="56"/>
      <c r="M43" s="56"/>
      <c r="N43" s="56"/>
      <c r="O43" s="56"/>
      <c r="P43" s="56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3"/>
    </row>
    <row r="44" spans="1:31" hidden="1" x14ac:dyDescent="0.25">
      <c r="B44" s="88"/>
      <c r="C44" s="89" t="e">
        <f>#REF!</f>
        <v>#REF!</v>
      </c>
      <c r="D44" s="90"/>
      <c r="E44" s="90"/>
      <c r="F44" s="90"/>
      <c r="G44" s="91"/>
      <c r="H44" s="90"/>
      <c r="I44" s="90"/>
      <c r="J44" s="90"/>
      <c r="K44" s="92"/>
      <c r="L44" s="92"/>
      <c r="M44" s="92"/>
      <c r="N44" s="92"/>
      <c r="O44" s="92"/>
      <c r="P44" s="92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4"/>
    </row>
    <row r="45" spans="1:31" s="59" customFormat="1" ht="14.25" x14ac:dyDescent="0.2">
      <c r="A45" s="108"/>
      <c r="B45" s="58" t="s">
        <v>204</v>
      </c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104"/>
    </row>
    <row r="46" spans="1:31" s="62" customFormat="1" x14ac:dyDescent="0.25">
      <c r="A46" s="109"/>
      <c r="B46" s="61">
        <v>1</v>
      </c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105"/>
    </row>
    <row r="47" spans="1:31" s="62" customFormat="1" x14ac:dyDescent="0.25">
      <c r="A47" s="109"/>
      <c r="B47" s="68" t="s">
        <v>346</v>
      </c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105"/>
    </row>
    <row r="48" spans="1:31" s="62" customFormat="1" x14ac:dyDescent="0.25">
      <c r="A48" s="109"/>
      <c r="B48" s="61">
        <v>2</v>
      </c>
      <c r="C48" s="97"/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105"/>
    </row>
    <row r="49" spans="1:31" s="62" customFormat="1" x14ac:dyDescent="0.25">
      <c r="A49" s="109"/>
      <c r="B49" s="68" t="s">
        <v>346</v>
      </c>
      <c r="C49" s="97"/>
      <c r="D49" s="97"/>
      <c r="E49" s="97"/>
      <c r="F49" s="97"/>
      <c r="G49" s="97"/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7"/>
      <c r="S49" s="105"/>
    </row>
    <row r="50" spans="1:31" s="62" customFormat="1" x14ac:dyDescent="0.25">
      <c r="A50" s="109"/>
      <c r="B50" s="61">
        <v>3</v>
      </c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105"/>
    </row>
    <row r="51" spans="1:31" s="62" customFormat="1" x14ac:dyDescent="0.25">
      <c r="A51" s="109"/>
      <c r="B51" s="68" t="s">
        <v>346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105"/>
    </row>
    <row r="52" spans="1:31" s="62" customFormat="1" x14ac:dyDescent="0.25">
      <c r="A52" s="109"/>
      <c r="B52" s="61">
        <v>4</v>
      </c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105"/>
    </row>
    <row r="53" spans="1:31" s="62" customFormat="1" x14ac:dyDescent="0.25">
      <c r="A53" s="109"/>
      <c r="B53" s="68" t="s">
        <v>346</v>
      </c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105"/>
    </row>
    <row r="54" spans="1:31" x14ac:dyDescent="0.25">
      <c r="B54" s="99" t="s">
        <v>346</v>
      </c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106"/>
      <c r="T54" s="95"/>
      <c r="U54" s="95"/>
      <c r="V54" s="95"/>
      <c r="W54" s="95"/>
      <c r="X54" s="95"/>
      <c r="Y54" s="95"/>
      <c r="Z54" s="95"/>
      <c r="AA54" s="95"/>
      <c r="AB54" s="95"/>
      <c r="AC54" s="95"/>
      <c r="AD54" s="95"/>
      <c r="AE54" s="96"/>
    </row>
    <row r="55" spans="1:31" x14ac:dyDescent="0.25">
      <c r="B55" s="100" t="s">
        <v>346</v>
      </c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105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3"/>
    </row>
    <row r="56" spans="1:31" x14ac:dyDescent="0.25">
      <c r="B56" s="101">
        <v>5</v>
      </c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105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3"/>
    </row>
    <row r="57" spans="1:31" x14ac:dyDescent="0.25">
      <c r="B57" s="101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105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3"/>
    </row>
    <row r="58" spans="1:31" x14ac:dyDescent="0.25">
      <c r="B58" s="101">
        <v>6</v>
      </c>
      <c r="C58" s="97"/>
      <c r="D58" s="97"/>
      <c r="E58" s="97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105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3"/>
    </row>
    <row r="59" spans="1:31" x14ac:dyDescent="0.25">
      <c r="B59" s="101"/>
      <c r="C59" s="97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105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3"/>
    </row>
    <row r="60" spans="1:31" x14ac:dyDescent="0.25">
      <c r="B60" s="101"/>
      <c r="C60" s="97"/>
      <c r="D60" s="97"/>
      <c r="E60" s="97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105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3"/>
    </row>
    <row r="61" spans="1:31" x14ac:dyDescent="0.25">
      <c r="B61" s="101"/>
      <c r="C61" s="97"/>
      <c r="D61" s="97"/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105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3"/>
    </row>
    <row r="62" spans="1:31" x14ac:dyDescent="0.25">
      <c r="B62" s="101"/>
      <c r="C62" s="97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  <c r="S62" s="105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3"/>
    </row>
    <row r="63" spans="1:31" s="15" customFormat="1" ht="14.25" x14ac:dyDescent="0.2">
      <c r="B63" s="102" t="s">
        <v>210</v>
      </c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104"/>
      <c r="T63" s="59"/>
      <c r="U63" s="59"/>
      <c r="V63" s="59"/>
      <c r="W63" s="59"/>
      <c r="X63" s="59"/>
      <c r="Y63" s="59"/>
      <c r="Z63" s="59"/>
      <c r="AA63" s="59"/>
      <c r="AB63" s="59"/>
      <c r="AC63" s="59"/>
      <c r="AD63" s="59"/>
      <c r="AE63" s="60"/>
    </row>
    <row r="64" spans="1:31" x14ac:dyDescent="0.25">
      <c r="B64" s="101"/>
      <c r="C64" s="97"/>
      <c r="D64" s="97"/>
      <c r="E64" s="97"/>
      <c r="F64" s="97"/>
      <c r="G64" s="97"/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105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3"/>
    </row>
    <row r="65" spans="2:31" x14ac:dyDescent="0.25">
      <c r="B65" s="101"/>
      <c r="C65" s="97"/>
      <c r="D65" s="97"/>
      <c r="E65" s="97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105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3"/>
    </row>
    <row r="66" spans="2:31" x14ac:dyDescent="0.25">
      <c r="B66" s="101"/>
      <c r="C66" s="97"/>
      <c r="D66" s="97"/>
      <c r="E66" s="97"/>
      <c r="F66" s="97"/>
      <c r="G66" s="97"/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105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3"/>
    </row>
    <row r="67" spans="2:31" x14ac:dyDescent="0.25">
      <c r="B67" s="101"/>
      <c r="C67" s="97"/>
      <c r="D67" s="97"/>
      <c r="E67" s="97"/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105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3"/>
    </row>
    <row r="68" spans="2:31" x14ac:dyDescent="0.25">
      <c r="B68" s="101"/>
      <c r="C68" s="97"/>
      <c r="D68" s="97"/>
      <c r="E68" s="97"/>
      <c r="F68" s="97"/>
      <c r="G68" s="97"/>
      <c r="H68" s="97"/>
      <c r="I68" s="97"/>
      <c r="J68" s="97"/>
      <c r="K68" s="97"/>
      <c r="L68" s="97"/>
      <c r="M68" s="97"/>
      <c r="N68" s="97"/>
      <c r="O68" s="97"/>
      <c r="P68" s="97"/>
      <c r="Q68" s="97"/>
      <c r="R68" s="97"/>
      <c r="S68" s="105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3"/>
    </row>
    <row r="69" spans="2:31" x14ac:dyDescent="0.25">
      <c r="B69" s="101"/>
      <c r="C69" s="97"/>
      <c r="D69" s="97"/>
      <c r="E69" s="97"/>
      <c r="F69" s="97"/>
      <c r="G69" s="97"/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105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3"/>
    </row>
    <row r="70" spans="2:31" x14ac:dyDescent="0.25">
      <c r="B70" s="101"/>
      <c r="C70" s="97"/>
      <c r="D70" s="97"/>
      <c r="E70" s="97"/>
      <c r="F70" s="97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105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3"/>
    </row>
    <row r="71" spans="2:31" x14ac:dyDescent="0.25">
      <c r="B71" s="101"/>
      <c r="C71" s="97"/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105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3"/>
    </row>
    <row r="72" spans="2:31" x14ac:dyDescent="0.25">
      <c r="B72" s="101"/>
      <c r="C72" s="97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105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3"/>
    </row>
    <row r="73" spans="2:31" x14ac:dyDescent="0.25">
      <c r="B73" s="101"/>
      <c r="C73" s="97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105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3"/>
    </row>
    <row r="74" spans="2:31" x14ac:dyDescent="0.25">
      <c r="B74" s="101"/>
      <c r="C74" s="97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105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3"/>
    </row>
    <row r="75" spans="2:31" x14ac:dyDescent="0.25">
      <c r="B75" s="101"/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105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3"/>
    </row>
    <row r="76" spans="2:31" x14ac:dyDescent="0.25">
      <c r="B76" s="101"/>
      <c r="C76" s="97"/>
      <c r="D76" s="97"/>
      <c r="E76" s="97"/>
      <c r="F76" s="97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105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3"/>
    </row>
    <row r="77" spans="2:31" x14ac:dyDescent="0.25">
      <c r="B77" s="101"/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105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3"/>
    </row>
    <row r="78" spans="2:31" x14ac:dyDescent="0.25">
      <c r="B78" s="101"/>
      <c r="C78" s="97"/>
      <c r="D78" s="97"/>
      <c r="E78" s="97"/>
      <c r="F78" s="97"/>
      <c r="G78" s="97"/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7"/>
      <c r="S78" s="105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3"/>
    </row>
    <row r="79" spans="2:31" x14ac:dyDescent="0.25">
      <c r="B79" s="101"/>
      <c r="C79" s="97"/>
      <c r="D79" s="97"/>
      <c r="E79" s="97"/>
      <c r="F79" s="97"/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105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3"/>
    </row>
    <row r="80" spans="2:31" x14ac:dyDescent="0.25">
      <c r="B80" s="101"/>
      <c r="C80" s="97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105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3"/>
    </row>
    <row r="81" spans="2:31" s="15" customFormat="1" ht="14.25" x14ac:dyDescent="0.2">
      <c r="B81" s="102" t="s">
        <v>345</v>
      </c>
      <c r="C81" s="97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104"/>
      <c r="T81" s="59"/>
      <c r="U81" s="59"/>
      <c r="V81" s="59"/>
      <c r="W81" s="59"/>
      <c r="X81" s="59"/>
      <c r="Y81" s="59"/>
      <c r="Z81" s="59"/>
      <c r="AA81" s="59"/>
      <c r="AB81" s="59"/>
      <c r="AC81" s="59"/>
      <c r="AD81" s="59"/>
      <c r="AE81" s="60"/>
    </row>
    <row r="82" spans="2:31" x14ac:dyDescent="0.25">
      <c r="B82" s="101"/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105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3"/>
    </row>
    <row r="83" spans="2:31" x14ac:dyDescent="0.25">
      <c r="B83" s="101"/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105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3"/>
    </row>
    <row r="84" spans="2:31" x14ac:dyDescent="0.25">
      <c r="B84" s="101"/>
      <c r="C84" s="97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7"/>
      <c r="S84" s="105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3"/>
    </row>
    <row r="85" spans="2:31" x14ac:dyDescent="0.25">
      <c r="B85" s="101"/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105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3"/>
    </row>
    <row r="86" spans="2:31" x14ac:dyDescent="0.25">
      <c r="B86" s="101"/>
      <c r="C86" s="97"/>
      <c r="D86" s="97"/>
      <c r="E86" s="97"/>
      <c r="F86" s="97"/>
      <c r="G86" s="97"/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105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3"/>
    </row>
    <row r="87" spans="2:31" x14ac:dyDescent="0.25">
      <c r="B87" s="101"/>
      <c r="C87" s="97"/>
      <c r="D87" s="97"/>
      <c r="E87" s="97"/>
      <c r="F87" s="97"/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105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3"/>
    </row>
    <row r="88" spans="2:31" x14ac:dyDescent="0.25">
      <c r="B88" s="101"/>
      <c r="C88" s="97"/>
      <c r="D88" s="97"/>
      <c r="E88" s="97"/>
      <c r="F88" s="97"/>
      <c r="G88" s="97"/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105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3"/>
    </row>
    <row r="89" spans="2:31" x14ac:dyDescent="0.25">
      <c r="B89" s="101"/>
      <c r="C89" s="97"/>
      <c r="D89" s="97"/>
      <c r="E89" s="97"/>
      <c r="F89" s="97"/>
      <c r="G89" s="97"/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105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3"/>
    </row>
    <row r="90" spans="2:31" x14ac:dyDescent="0.25">
      <c r="B90" s="101"/>
      <c r="C90" s="97"/>
      <c r="D90" s="97"/>
      <c r="E90" s="97"/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105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3"/>
    </row>
    <row r="91" spans="2:31" x14ac:dyDescent="0.25">
      <c r="B91" s="101"/>
      <c r="C91" s="97"/>
      <c r="D91" s="97"/>
      <c r="E91" s="97"/>
      <c r="F91" s="97"/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105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3"/>
    </row>
    <row r="92" spans="2:31" x14ac:dyDescent="0.25">
      <c r="B92" s="101"/>
      <c r="C92" s="97"/>
      <c r="D92" s="97"/>
      <c r="E92" s="97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105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3"/>
    </row>
    <row r="93" spans="2:31" x14ac:dyDescent="0.25">
      <c r="B93" s="101"/>
      <c r="C93" s="97"/>
      <c r="D93" s="97"/>
      <c r="E93" s="97"/>
      <c r="F93" s="97"/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105"/>
      <c r="T93" s="62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3"/>
    </row>
    <row r="94" spans="2:31" x14ac:dyDescent="0.25">
      <c r="B94" s="101"/>
      <c r="C94" s="97"/>
      <c r="D94" s="97"/>
      <c r="E94" s="97"/>
      <c r="F94" s="97"/>
      <c r="G94" s="97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105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3"/>
    </row>
    <row r="95" spans="2:31" x14ac:dyDescent="0.25">
      <c r="B95" s="101"/>
      <c r="C95" s="97"/>
      <c r="D95" s="97"/>
      <c r="E95" s="97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105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3"/>
    </row>
    <row r="96" spans="2:31" x14ac:dyDescent="0.25">
      <c r="B96" s="101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105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3"/>
    </row>
    <row r="97" spans="2:31" x14ac:dyDescent="0.25">
      <c r="B97" s="101"/>
      <c r="C97" s="97"/>
      <c r="D97" s="97"/>
      <c r="E97" s="97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105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3"/>
    </row>
    <row r="98" spans="2:31" x14ac:dyDescent="0.25">
      <c r="B98" s="101"/>
      <c r="C98" s="97"/>
      <c r="D98" s="97"/>
      <c r="E98" s="97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105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3"/>
    </row>
    <row r="99" spans="2:31" s="15" customFormat="1" ht="14.25" x14ac:dyDescent="0.2">
      <c r="B99" s="102"/>
      <c r="C99" s="97"/>
      <c r="D99" s="97"/>
      <c r="E99" s="97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104"/>
      <c r="T99" s="59"/>
      <c r="U99" s="59"/>
      <c r="V99" s="59"/>
      <c r="W99" s="59"/>
      <c r="X99" s="59"/>
      <c r="Y99" s="59"/>
      <c r="Z99" s="59"/>
      <c r="AA99" s="59"/>
      <c r="AB99" s="59"/>
      <c r="AC99" s="59"/>
      <c r="AD99" s="59"/>
      <c r="AE99" s="60"/>
    </row>
    <row r="100" spans="2:31" x14ac:dyDescent="0.25">
      <c r="B100" s="101"/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105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3"/>
    </row>
    <row r="101" spans="2:31" x14ac:dyDescent="0.25">
      <c r="B101" s="101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105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3"/>
    </row>
    <row r="102" spans="2:31" x14ac:dyDescent="0.25">
      <c r="B102" s="101"/>
      <c r="C102" s="97"/>
      <c r="D102" s="97"/>
      <c r="E102" s="97"/>
      <c r="F102" s="97"/>
      <c r="G102" s="97"/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105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3"/>
    </row>
    <row r="103" spans="2:31" x14ac:dyDescent="0.25">
      <c r="B103" s="101"/>
      <c r="C103" s="97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105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3"/>
    </row>
    <row r="104" spans="2:31" x14ac:dyDescent="0.25">
      <c r="B104" s="101"/>
      <c r="C104" s="97"/>
      <c r="D104" s="97"/>
      <c r="E104" s="97"/>
      <c r="F104" s="97"/>
      <c r="G104" s="97"/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105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3"/>
    </row>
    <row r="105" spans="2:31" x14ac:dyDescent="0.25">
      <c r="B105" s="101"/>
      <c r="C105" s="97"/>
      <c r="D105" s="97"/>
      <c r="E105" s="97"/>
      <c r="F105" s="97"/>
      <c r="G105" s="97"/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105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3"/>
    </row>
    <row r="106" spans="2:31" x14ac:dyDescent="0.25">
      <c r="B106" s="101"/>
      <c r="C106" s="97"/>
      <c r="D106" s="97"/>
      <c r="E106" s="97"/>
      <c r="F106" s="97"/>
      <c r="G106" s="97"/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105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3"/>
    </row>
    <row r="107" spans="2:31" x14ac:dyDescent="0.25">
      <c r="B107" s="101"/>
      <c r="C107" s="97"/>
      <c r="D107" s="97"/>
      <c r="E107" s="97"/>
      <c r="F107" s="97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105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3"/>
    </row>
    <row r="108" spans="2:31" x14ac:dyDescent="0.25">
      <c r="B108" s="101"/>
      <c r="C108" s="97"/>
      <c r="D108" s="97"/>
      <c r="E108" s="97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105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3"/>
    </row>
    <row r="109" spans="2:31" x14ac:dyDescent="0.25">
      <c r="B109" s="101"/>
      <c r="C109" s="97"/>
      <c r="D109" s="97"/>
      <c r="E109" s="97"/>
      <c r="F109" s="97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105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63"/>
    </row>
    <row r="110" spans="2:31" x14ac:dyDescent="0.25">
      <c r="B110" s="101"/>
      <c r="C110" s="97"/>
      <c r="D110" s="97"/>
      <c r="E110" s="97"/>
      <c r="F110" s="97"/>
      <c r="G110" s="97"/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105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3"/>
    </row>
    <row r="111" spans="2:31" x14ac:dyDescent="0.25">
      <c r="B111" s="101"/>
      <c r="C111" s="97"/>
      <c r="D111" s="97"/>
      <c r="E111" s="97"/>
      <c r="F111" s="97"/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105"/>
      <c r="T111" s="62"/>
      <c r="U111" s="62"/>
      <c r="V111" s="62"/>
      <c r="W111" s="62"/>
      <c r="X111" s="62"/>
      <c r="Y111" s="62"/>
      <c r="Z111" s="62"/>
      <c r="AA111" s="62"/>
      <c r="AB111" s="62"/>
      <c r="AC111" s="62"/>
      <c r="AD111" s="62"/>
      <c r="AE111" s="63"/>
    </row>
    <row r="112" spans="2:31" x14ac:dyDescent="0.25">
      <c r="B112" s="101"/>
      <c r="C112" s="97"/>
      <c r="D112" s="97"/>
      <c r="E112" s="97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105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3"/>
    </row>
    <row r="113" spans="2:31" x14ac:dyDescent="0.25">
      <c r="B113" s="101"/>
      <c r="C113" s="97"/>
      <c r="D113" s="97"/>
      <c r="E113" s="97"/>
      <c r="F113" s="97"/>
      <c r="G113" s="97"/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105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D113" s="62"/>
      <c r="AE113" s="63"/>
    </row>
    <row r="114" spans="2:31" x14ac:dyDescent="0.25">
      <c r="B114" s="101"/>
      <c r="C114" s="97"/>
      <c r="D114" s="97"/>
      <c r="E114" s="97"/>
      <c r="F114" s="97"/>
      <c r="G114" s="97"/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105"/>
      <c r="T114" s="62"/>
      <c r="U114" s="62"/>
      <c r="V114" s="62"/>
      <c r="W114" s="62"/>
      <c r="X114" s="62"/>
      <c r="Y114" s="62"/>
      <c r="Z114" s="62"/>
      <c r="AA114" s="62"/>
      <c r="AB114" s="62"/>
      <c r="AC114" s="62"/>
      <c r="AD114" s="62"/>
      <c r="AE114" s="63"/>
    </row>
    <row r="115" spans="2:31" x14ac:dyDescent="0.25">
      <c r="B115" s="101"/>
      <c r="C115" s="97"/>
      <c r="D115" s="97"/>
      <c r="E115" s="97"/>
      <c r="F115" s="97"/>
      <c r="G115" s="97"/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105"/>
      <c r="T115" s="62"/>
      <c r="U115" s="62"/>
      <c r="V115" s="62"/>
      <c r="W115" s="62"/>
      <c r="X115" s="62"/>
      <c r="Y115" s="62"/>
      <c r="Z115" s="62"/>
      <c r="AA115" s="62"/>
      <c r="AB115" s="62"/>
      <c r="AC115" s="62"/>
      <c r="AD115" s="62"/>
      <c r="AE115" s="63"/>
    </row>
    <row r="116" spans="2:31" x14ac:dyDescent="0.25">
      <c r="B116" s="101"/>
      <c r="C116" s="97"/>
      <c r="D116" s="97"/>
      <c r="E116" s="97"/>
      <c r="F116" s="97"/>
      <c r="G116" s="97"/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105"/>
      <c r="T116" s="62"/>
      <c r="U116" s="62"/>
      <c r="V116" s="62"/>
      <c r="W116" s="62"/>
      <c r="X116" s="62"/>
      <c r="Y116" s="62"/>
      <c r="Z116" s="62"/>
      <c r="AA116" s="62"/>
      <c r="AB116" s="62"/>
      <c r="AC116" s="62"/>
      <c r="AD116" s="62"/>
      <c r="AE116" s="63"/>
    </row>
    <row r="117" spans="2:31" s="15" customFormat="1" ht="14.25" x14ac:dyDescent="0.2">
      <c r="B117" s="102"/>
      <c r="C117" s="97"/>
      <c r="D117" s="97"/>
      <c r="E117" s="97"/>
      <c r="F117" s="97"/>
      <c r="G117" s="97"/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104"/>
      <c r="T117" s="59"/>
      <c r="U117" s="59"/>
      <c r="V117" s="59"/>
      <c r="W117" s="59"/>
      <c r="X117" s="59"/>
      <c r="Y117" s="59"/>
      <c r="Z117" s="59"/>
      <c r="AA117" s="59"/>
      <c r="AB117" s="59"/>
      <c r="AC117" s="59"/>
      <c r="AD117" s="59"/>
      <c r="AE117" s="60"/>
    </row>
    <row r="118" spans="2:31" x14ac:dyDescent="0.25">
      <c r="B118" s="101"/>
      <c r="C118" s="97"/>
      <c r="D118" s="97"/>
      <c r="E118" s="97"/>
      <c r="F118" s="97"/>
      <c r="G118" s="97"/>
      <c r="H118" s="97"/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105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3"/>
    </row>
    <row r="119" spans="2:31" x14ac:dyDescent="0.25">
      <c r="B119" s="101"/>
      <c r="C119" s="97"/>
      <c r="D119" s="97"/>
      <c r="E119" s="97"/>
      <c r="F119" s="97"/>
      <c r="G119" s="97"/>
      <c r="H119" s="97"/>
      <c r="I119" s="97"/>
      <c r="J119" s="97"/>
      <c r="K119" s="97"/>
      <c r="L119" s="97"/>
      <c r="M119" s="97"/>
      <c r="N119" s="97"/>
      <c r="O119" s="97"/>
      <c r="P119" s="97"/>
      <c r="Q119" s="97"/>
      <c r="R119" s="97"/>
      <c r="S119" s="105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3"/>
    </row>
    <row r="120" spans="2:31" x14ac:dyDescent="0.25">
      <c r="B120" s="101"/>
      <c r="C120" s="97"/>
      <c r="D120" s="97"/>
      <c r="E120" s="97"/>
      <c r="F120" s="97"/>
      <c r="G120" s="97"/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105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3"/>
    </row>
    <row r="121" spans="2:31" x14ac:dyDescent="0.25">
      <c r="B121" s="101"/>
      <c r="C121" s="97"/>
      <c r="D121" s="97"/>
      <c r="E121" s="97"/>
      <c r="F121" s="97"/>
      <c r="G121" s="97"/>
      <c r="H121" s="97"/>
      <c r="I121" s="97"/>
      <c r="J121" s="97"/>
      <c r="K121" s="97"/>
      <c r="L121" s="97"/>
      <c r="M121" s="97"/>
      <c r="N121" s="97"/>
      <c r="O121" s="97"/>
      <c r="P121" s="97"/>
      <c r="Q121" s="97"/>
      <c r="R121" s="97"/>
      <c r="S121" s="105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3"/>
    </row>
    <row r="122" spans="2:31" x14ac:dyDescent="0.25">
      <c r="B122" s="101"/>
      <c r="C122" s="97"/>
      <c r="D122" s="97"/>
      <c r="E122" s="97"/>
      <c r="F122" s="97"/>
      <c r="G122" s="97"/>
      <c r="H122" s="97"/>
      <c r="I122" s="97"/>
      <c r="J122" s="97"/>
      <c r="K122" s="97"/>
      <c r="L122" s="97"/>
      <c r="M122" s="97"/>
      <c r="N122" s="97"/>
      <c r="O122" s="97"/>
      <c r="P122" s="97"/>
      <c r="Q122" s="97"/>
      <c r="R122" s="97"/>
      <c r="S122" s="105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3"/>
    </row>
    <row r="123" spans="2:31" x14ac:dyDescent="0.25">
      <c r="B123" s="101"/>
      <c r="C123" s="97"/>
      <c r="D123" s="97"/>
      <c r="E123" s="97"/>
      <c r="F123" s="97"/>
      <c r="G123" s="97"/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7"/>
      <c r="S123" s="105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3"/>
    </row>
    <row r="124" spans="2:31" x14ac:dyDescent="0.25">
      <c r="B124" s="101"/>
      <c r="C124" s="97"/>
      <c r="D124" s="97"/>
      <c r="E124" s="97"/>
      <c r="F124" s="97"/>
      <c r="G124" s="97"/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105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3"/>
    </row>
    <row r="125" spans="2:31" x14ac:dyDescent="0.25">
      <c r="B125" s="101"/>
      <c r="C125" s="97"/>
      <c r="D125" s="97"/>
      <c r="E125" s="97"/>
      <c r="F125" s="97"/>
      <c r="G125" s="97"/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7"/>
      <c r="S125" s="105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3"/>
    </row>
    <row r="126" spans="2:31" x14ac:dyDescent="0.25">
      <c r="B126" s="101"/>
      <c r="C126" s="97"/>
      <c r="D126" s="97"/>
      <c r="E126" s="97"/>
      <c r="F126" s="97"/>
      <c r="G126" s="97"/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7"/>
      <c r="S126" s="105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3"/>
    </row>
    <row r="127" spans="2:31" x14ac:dyDescent="0.25">
      <c r="B127" s="101"/>
      <c r="C127" s="97"/>
      <c r="D127" s="97"/>
      <c r="E127" s="97"/>
      <c r="F127" s="97"/>
      <c r="G127" s="97"/>
      <c r="H127" s="97"/>
      <c r="I127" s="97"/>
      <c r="J127" s="97"/>
      <c r="K127" s="97"/>
      <c r="L127" s="97"/>
      <c r="M127" s="97"/>
      <c r="N127" s="97"/>
      <c r="O127" s="97"/>
      <c r="P127" s="97"/>
      <c r="Q127" s="97"/>
      <c r="R127" s="97"/>
      <c r="S127" s="105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3"/>
    </row>
    <row r="128" spans="2:31" x14ac:dyDescent="0.25">
      <c r="B128" s="101"/>
      <c r="C128" s="97"/>
      <c r="D128" s="97"/>
      <c r="E128" s="97"/>
      <c r="F128" s="97"/>
      <c r="G128" s="97"/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7"/>
      <c r="S128" s="105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3"/>
    </row>
    <row r="129" spans="2:31" x14ac:dyDescent="0.25">
      <c r="B129" s="101"/>
      <c r="C129" s="97"/>
      <c r="D129" s="97"/>
      <c r="E129" s="97"/>
      <c r="F129" s="97"/>
      <c r="G129" s="97"/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105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3"/>
    </row>
    <row r="130" spans="2:31" x14ac:dyDescent="0.25">
      <c r="B130" s="101"/>
      <c r="C130" s="97"/>
      <c r="D130" s="97"/>
      <c r="E130" s="97"/>
      <c r="F130" s="97"/>
      <c r="G130" s="97"/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105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3"/>
    </row>
    <row r="131" spans="2:31" x14ac:dyDescent="0.25">
      <c r="B131" s="101"/>
      <c r="C131" s="97"/>
      <c r="D131" s="97"/>
      <c r="E131" s="97"/>
      <c r="F131" s="97"/>
      <c r="G131" s="97"/>
      <c r="H131" s="97"/>
      <c r="I131" s="97"/>
      <c r="J131" s="97"/>
      <c r="K131" s="97"/>
      <c r="L131" s="97"/>
      <c r="M131" s="97"/>
      <c r="N131" s="97"/>
      <c r="O131" s="97"/>
      <c r="P131" s="97"/>
      <c r="Q131" s="97"/>
      <c r="R131" s="97"/>
      <c r="S131" s="105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3"/>
    </row>
    <row r="132" spans="2:31" x14ac:dyDescent="0.25">
      <c r="B132" s="101"/>
      <c r="C132" s="97"/>
      <c r="D132" s="97"/>
      <c r="E132" s="97"/>
      <c r="F132" s="97"/>
      <c r="G132" s="97"/>
      <c r="H132" s="97"/>
      <c r="I132" s="97"/>
      <c r="J132" s="97"/>
      <c r="K132" s="97"/>
      <c r="L132" s="97"/>
      <c r="M132" s="97"/>
      <c r="N132" s="97"/>
      <c r="O132" s="97"/>
      <c r="P132" s="97"/>
      <c r="Q132" s="97"/>
      <c r="R132" s="97"/>
      <c r="S132" s="105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3"/>
    </row>
    <row r="133" spans="2:31" x14ac:dyDescent="0.25">
      <c r="B133" s="101"/>
      <c r="C133" s="97"/>
      <c r="D133" s="97"/>
      <c r="E133" s="97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105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3"/>
    </row>
    <row r="134" spans="2:31" x14ac:dyDescent="0.25">
      <c r="B134" s="101"/>
      <c r="C134" s="97"/>
      <c r="D134" s="97"/>
      <c r="E134" s="97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105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3"/>
    </row>
    <row r="135" spans="2:31" s="15" customFormat="1" ht="14.25" x14ac:dyDescent="0.2">
      <c r="B135" s="102"/>
      <c r="C135" s="97"/>
      <c r="D135" s="97"/>
      <c r="E135" s="97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104"/>
      <c r="T135" s="59"/>
      <c r="U135" s="59"/>
      <c r="V135" s="59"/>
      <c r="W135" s="59"/>
      <c r="X135" s="59"/>
      <c r="Y135" s="59"/>
      <c r="Z135" s="59"/>
      <c r="AA135" s="59"/>
      <c r="AB135" s="59"/>
      <c r="AC135" s="59"/>
      <c r="AD135" s="59"/>
      <c r="AE135" s="60"/>
    </row>
    <row r="136" spans="2:31" x14ac:dyDescent="0.25">
      <c r="B136" s="101"/>
      <c r="C136" s="97"/>
      <c r="D136" s="97"/>
      <c r="E136" s="97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105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3"/>
    </row>
    <row r="137" spans="2:31" x14ac:dyDescent="0.25">
      <c r="B137" s="101"/>
      <c r="C137" s="97"/>
      <c r="D137" s="97"/>
      <c r="E137" s="97"/>
      <c r="F137" s="97"/>
      <c r="G137" s="97"/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105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3"/>
    </row>
    <row r="138" spans="2:31" x14ac:dyDescent="0.25">
      <c r="B138" s="101"/>
      <c r="C138" s="97"/>
      <c r="D138" s="97"/>
      <c r="E138" s="97"/>
      <c r="F138" s="97"/>
      <c r="G138" s="97"/>
      <c r="H138" s="97"/>
      <c r="I138" s="97"/>
      <c r="J138" s="97"/>
      <c r="K138" s="97"/>
      <c r="L138" s="97"/>
      <c r="M138" s="97"/>
      <c r="N138" s="97"/>
      <c r="O138" s="97"/>
      <c r="P138" s="97"/>
      <c r="Q138" s="97"/>
      <c r="R138" s="97"/>
      <c r="S138" s="105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3"/>
    </row>
    <row r="139" spans="2:31" x14ac:dyDescent="0.25">
      <c r="B139" s="101"/>
      <c r="C139" s="97"/>
      <c r="D139" s="97"/>
      <c r="E139" s="97"/>
      <c r="F139" s="97"/>
      <c r="G139" s="97"/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105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3"/>
    </row>
    <row r="140" spans="2:31" x14ac:dyDescent="0.25">
      <c r="B140" s="101"/>
      <c r="C140" s="97"/>
      <c r="D140" s="97"/>
      <c r="E140" s="97"/>
      <c r="F140" s="97"/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105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3"/>
    </row>
    <row r="141" spans="2:31" x14ac:dyDescent="0.25">
      <c r="B141" s="101"/>
      <c r="C141" s="97"/>
      <c r="D141" s="97"/>
      <c r="E141" s="97"/>
      <c r="F141" s="97"/>
      <c r="G141" s="97"/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7"/>
      <c r="S141" s="105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3"/>
    </row>
    <row r="142" spans="2:31" x14ac:dyDescent="0.25">
      <c r="B142" s="101"/>
      <c r="C142" s="97"/>
      <c r="D142" s="97"/>
      <c r="E142" s="97"/>
      <c r="F142" s="97"/>
      <c r="G142" s="97"/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105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3"/>
    </row>
    <row r="143" spans="2:31" x14ac:dyDescent="0.25">
      <c r="B143" s="101"/>
      <c r="C143" s="97"/>
      <c r="D143" s="97"/>
      <c r="E143" s="97"/>
      <c r="F143" s="97"/>
      <c r="G143" s="97"/>
      <c r="H143" s="97"/>
      <c r="I143" s="97"/>
      <c r="J143" s="97"/>
      <c r="K143" s="97"/>
      <c r="L143" s="97"/>
      <c r="M143" s="97"/>
      <c r="N143" s="97"/>
      <c r="O143" s="97"/>
      <c r="P143" s="97"/>
      <c r="Q143" s="97"/>
      <c r="R143" s="97"/>
      <c r="S143" s="105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3"/>
    </row>
    <row r="144" spans="2:31" x14ac:dyDescent="0.25">
      <c r="B144" s="101"/>
      <c r="C144" s="97"/>
      <c r="D144" s="97"/>
      <c r="E144" s="97"/>
      <c r="F144" s="97"/>
      <c r="G144" s="97"/>
      <c r="H144" s="97"/>
      <c r="I144" s="97"/>
      <c r="J144" s="97"/>
      <c r="K144" s="97"/>
      <c r="L144" s="97"/>
      <c r="M144" s="97"/>
      <c r="N144" s="97"/>
      <c r="O144" s="97"/>
      <c r="P144" s="97"/>
      <c r="Q144" s="97"/>
      <c r="R144" s="97"/>
      <c r="S144" s="105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3"/>
    </row>
    <row r="145" spans="2:31" x14ac:dyDescent="0.25">
      <c r="B145" s="101"/>
      <c r="C145" s="97"/>
      <c r="D145" s="97"/>
      <c r="E145" s="97"/>
      <c r="F145" s="97"/>
      <c r="G145" s="97"/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105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3"/>
    </row>
    <row r="146" spans="2:31" x14ac:dyDescent="0.25">
      <c r="B146" s="101"/>
      <c r="C146" s="97"/>
      <c r="D146" s="97"/>
      <c r="E146" s="97"/>
      <c r="F146" s="97"/>
      <c r="G146" s="97"/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105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3"/>
    </row>
    <row r="147" spans="2:31" x14ac:dyDescent="0.25">
      <c r="B147" s="101"/>
      <c r="C147" s="97"/>
      <c r="D147" s="97"/>
      <c r="E147" s="97"/>
      <c r="F147" s="97"/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105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3"/>
    </row>
    <row r="148" spans="2:31" x14ac:dyDescent="0.25">
      <c r="B148" s="101"/>
      <c r="C148" s="97"/>
      <c r="D148" s="97"/>
      <c r="E148" s="97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105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3"/>
    </row>
    <row r="149" spans="2:31" x14ac:dyDescent="0.25">
      <c r="B149" s="101"/>
      <c r="C149" s="97"/>
      <c r="D149" s="97"/>
      <c r="E149" s="97"/>
      <c r="F149" s="97"/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105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3"/>
    </row>
    <row r="150" spans="2:31" x14ac:dyDescent="0.25">
      <c r="B150" s="101"/>
      <c r="C150" s="97"/>
      <c r="D150" s="97"/>
      <c r="E150" s="97"/>
      <c r="F150" s="97"/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105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3"/>
    </row>
    <row r="151" spans="2:31" x14ac:dyDescent="0.25">
      <c r="B151" s="101"/>
      <c r="C151" s="97"/>
      <c r="D151" s="97"/>
      <c r="E151" s="97"/>
      <c r="F151" s="97"/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105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3"/>
    </row>
    <row r="152" spans="2:31" x14ac:dyDescent="0.25">
      <c r="B152" s="101"/>
      <c r="C152" s="97"/>
      <c r="D152" s="97"/>
      <c r="E152" s="97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105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3"/>
    </row>
    <row r="153" spans="2:31" s="15" customFormat="1" ht="14.25" x14ac:dyDescent="0.2">
      <c r="B153" s="102"/>
      <c r="C153" s="97"/>
      <c r="D153" s="97"/>
      <c r="E153" s="97"/>
      <c r="F153" s="97"/>
      <c r="G153" s="97"/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104"/>
      <c r="T153" s="59"/>
      <c r="U153" s="59"/>
      <c r="V153" s="59"/>
      <c r="W153" s="59"/>
      <c r="X153" s="59"/>
      <c r="Y153" s="59"/>
      <c r="Z153" s="59"/>
      <c r="AA153" s="59"/>
      <c r="AB153" s="59"/>
      <c r="AC153" s="59"/>
      <c r="AD153" s="59"/>
      <c r="AE153" s="60"/>
    </row>
    <row r="154" spans="2:31" x14ac:dyDescent="0.25">
      <c r="B154" s="101"/>
      <c r="C154" s="97"/>
      <c r="D154" s="97"/>
      <c r="E154" s="97"/>
      <c r="F154" s="97"/>
      <c r="G154" s="97"/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105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3"/>
    </row>
    <row r="155" spans="2:31" x14ac:dyDescent="0.25">
      <c r="B155" s="101"/>
      <c r="C155" s="97"/>
      <c r="D155" s="97"/>
      <c r="E155" s="97"/>
      <c r="F155" s="97"/>
      <c r="G155" s="97"/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105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3"/>
    </row>
    <row r="156" spans="2:31" x14ac:dyDescent="0.25">
      <c r="B156" s="101"/>
      <c r="C156" s="97"/>
      <c r="D156" s="97"/>
      <c r="E156" s="97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105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3"/>
    </row>
    <row r="157" spans="2:31" x14ac:dyDescent="0.25">
      <c r="B157" s="101"/>
      <c r="C157" s="97"/>
      <c r="D157" s="97"/>
      <c r="E157" s="97"/>
      <c r="F157" s="97"/>
      <c r="G157" s="97"/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105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3"/>
    </row>
    <row r="158" spans="2:31" x14ac:dyDescent="0.25">
      <c r="B158" s="101"/>
      <c r="C158" s="97"/>
      <c r="D158" s="97"/>
      <c r="E158" s="97"/>
      <c r="F158" s="97"/>
      <c r="G158" s="97"/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105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3"/>
    </row>
    <row r="159" spans="2:31" x14ac:dyDescent="0.25">
      <c r="B159" s="101"/>
      <c r="C159" s="97"/>
      <c r="D159" s="97"/>
      <c r="E159" s="97"/>
      <c r="F159" s="97"/>
      <c r="G159" s="97"/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105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3"/>
    </row>
    <row r="160" spans="2:31" x14ac:dyDescent="0.25">
      <c r="B160" s="101"/>
      <c r="C160" s="97"/>
      <c r="D160" s="97"/>
      <c r="E160" s="97"/>
      <c r="F160" s="97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105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3"/>
    </row>
    <row r="161" spans="2:31" x14ac:dyDescent="0.25">
      <c r="B161" s="101"/>
      <c r="C161" s="97"/>
      <c r="D161" s="97"/>
      <c r="E161" s="97"/>
      <c r="F161" s="97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105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3"/>
    </row>
    <row r="162" spans="2:31" x14ac:dyDescent="0.25">
      <c r="B162" s="101"/>
      <c r="C162" s="97"/>
      <c r="D162" s="97"/>
      <c r="E162" s="97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105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3"/>
    </row>
    <row r="163" spans="2:31" x14ac:dyDescent="0.25">
      <c r="B163" s="101"/>
      <c r="C163" s="97"/>
      <c r="D163" s="97"/>
      <c r="E163" s="97"/>
      <c r="F163" s="97"/>
      <c r="G163" s="97"/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105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3"/>
    </row>
    <row r="164" spans="2:31" x14ac:dyDescent="0.25">
      <c r="B164" s="101"/>
      <c r="C164" s="97"/>
      <c r="D164" s="97"/>
      <c r="E164" s="97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105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3"/>
    </row>
    <row r="165" spans="2:31" x14ac:dyDescent="0.25">
      <c r="B165" s="101"/>
      <c r="C165" s="97"/>
      <c r="D165" s="97"/>
      <c r="E165" s="97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105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3"/>
    </row>
    <row r="166" spans="2:31" x14ac:dyDescent="0.25">
      <c r="B166" s="101"/>
      <c r="C166" s="97"/>
      <c r="D166" s="97"/>
      <c r="E166" s="97"/>
      <c r="F166" s="97"/>
      <c r="G166" s="97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105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3"/>
    </row>
    <row r="167" spans="2:31" x14ac:dyDescent="0.25">
      <c r="B167" s="101"/>
      <c r="C167" s="97"/>
      <c r="D167" s="97"/>
      <c r="E167" s="97"/>
      <c r="F167" s="97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105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3"/>
    </row>
    <row r="168" spans="2:31" x14ac:dyDescent="0.25">
      <c r="B168" s="101"/>
      <c r="C168" s="97"/>
      <c r="D168" s="97"/>
      <c r="E168" s="97"/>
      <c r="F168" s="97"/>
      <c r="G168" s="97"/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105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3"/>
    </row>
    <row r="169" spans="2:31" x14ac:dyDescent="0.25">
      <c r="B169" s="101"/>
      <c r="C169" s="97"/>
      <c r="D169" s="97"/>
      <c r="E169" s="97"/>
      <c r="F169" s="97"/>
      <c r="G169" s="97"/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105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3"/>
    </row>
    <row r="170" spans="2:31" x14ac:dyDescent="0.25">
      <c r="B170" s="101"/>
      <c r="C170" s="97"/>
      <c r="D170" s="97"/>
      <c r="E170" s="97"/>
      <c r="F170" s="97"/>
      <c r="G170" s="97"/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105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3"/>
    </row>
    <row r="171" spans="2:31" s="15" customFormat="1" ht="14.25" x14ac:dyDescent="0.2">
      <c r="B171" s="102"/>
      <c r="C171" s="97"/>
      <c r="D171" s="97"/>
      <c r="E171" s="97"/>
      <c r="F171" s="97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104"/>
      <c r="T171" s="59"/>
      <c r="U171" s="59"/>
      <c r="V171" s="59"/>
      <c r="W171" s="59"/>
      <c r="X171" s="59"/>
      <c r="Y171" s="59"/>
      <c r="Z171" s="59"/>
      <c r="AA171" s="59"/>
      <c r="AB171" s="59"/>
      <c r="AC171" s="59"/>
      <c r="AD171" s="59"/>
      <c r="AE171" s="60"/>
    </row>
    <row r="172" spans="2:31" x14ac:dyDescent="0.25">
      <c r="B172" s="101"/>
      <c r="C172" s="97"/>
      <c r="D172" s="97"/>
      <c r="E172" s="97"/>
      <c r="F172" s="97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105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3"/>
    </row>
    <row r="173" spans="2:31" x14ac:dyDescent="0.25">
      <c r="B173" s="101"/>
      <c r="C173" s="97"/>
      <c r="D173" s="97"/>
      <c r="E173" s="97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105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3"/>
    </row>
    <row r="174" spans="2:31" x14ac:dyDescent="0.25">
      <c r="B174" s="101"/>
      <c r="C174" s="97"/>
      <c r="D174" s="97"/>
      <c r="E174" s="97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105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3"/>
    </row>
    <row r="175" spans="2:31" x14ac:dyDescent="0.25">
      <c r="B175" s="101"/>
      <c r="C175" s="97"/>
      <c r="D175" s="97"/>
      <c r="E175" s="97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105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3"/>
    </row>
    <row r="176" spans="2:31" x14ac:dyDescent="0.25">
      <c r="B176" s="101"/>
      <c r="C176" s="97"/>
      <c r="D176" s="97"/>
      <c r="E176" s="97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105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3"/>
    </row>
    <row r="177" spans="2:31" x14ac:dyDescent="0.25">
      <c r="B177" s="101"/>
      <c r="C177" s="97"/>
      <c r="D177" s="97"/>
      <c r="E177" s="97"/>
      <c r="F177" s="97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105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3"/>
    </row>
    <row r="178" spans="2:31" x14ac:dyDescent="0.25">
      <c r="B178" s="101"/>
      <c r="C178" s="97"/>
      <c r="D178" s="97"/>
      <c r="E178" s="97"/>
      <c r="F178" s="97"/>
      <c r="G178" s="97"/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105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3"/>
    </row>
    <row r="179" spans="2:31" x14ac:dyDescent="0.25">
      <c r="B179" s="101"/>
      <c r="C179" s="97"/>
      <c r="D179" s="97"/>
      <c r="E179" s="97"/>
      <c r="F179" s="97"/>
      <c r="G179" s="97"/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105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3"/>
    </row>
    <row r="180" spans="2:31" x14ac:dyDescent="0.25">
      <c r="B180" s="101"/>
      <c r="C180" s="97"/>
      <c r="D180" s="97"/>
      <c r="E180" s="97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105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3"/>
    </row>
    <row r="181" spans="2:31" x14ac:dyDescent="0.25">
      <c r="B181" s="101"/>
      <c r="C181" s="97"/>
      <c r="D181" s="97"/>
      <c r="E181" s="97"/>
      <c r="F181" s="97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105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3"/>
    </row>
    <row r="182" spans="2:31" x14ac:dyDescent="0.25">
      <c r="B182" s="101"/>
      <c r="C182" s="97"/>
      <c r="D182" s="97"/>
      <c r="E182" s="97"/>
      <c r="F182" s="97"/>
      <c r="G182" s="97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105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3"/>
    </row>
    <row r="183" spans="2:31" x14ac:dyDescent="0.25">
      <c r="B183" s="101"/>
      <c r="C183" s="97"/>
      <c r="D183" s="97"/>
      <c r="E183" s="97"/>
      <c r="F183" s="97"/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105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3"/>
    </row>
    <row r="184" spans="2:31" x14ac:dyDescent="0.25">
      <c r="B184" s="101"/>
      <c r="C184" s="97"/>
      <c r="D184" s="97"/>
      <c r="E184" s="97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105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3"/>
    </row>
    <row r="185" spans="2:31" x14ac:dyDescent="0.25">
      <c r="B185" s="101"/>
      <c r="C185" s="97"/>
      <c r="D185" s="97"/>
      <c r="E185" s="97"/>
      <c r="F185" s="97"/>
      <c r="G185" s="97"/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105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3"/>
    </row>
    <row r="186" spans="2:31" x14ac:dyDescent="0.25">
      <c r="B186" s="101"/>
      <c r="C186" s="97"/>
      <c r="D186" s="97"/>
      <c r="E186" s="97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105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3"/>
    </row>
    <row r="187" spans="2:31" x14ac:dyDescent="0.25">
      <c r="B187" s="101"/>
      <c r="C187" s="97"/>
      <c r="D187" s="97"/>
      <c r="E187" s="97"/>
      <c r="F187" s="97"/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105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3"/>
    </row>
    <row r="188" spans="2:31" ht="15.75" thickBot="1" x14ac:dyDescent="0.3">
      <c r="B188" s="103"/>
      <c r="C188" s="97"/>
      <c r="D188" s="97"/>
      <c r="E188" s="97"/>
      <c r="F188" s="97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107"/>
      <c r="T188" s="66"/>
      <c r="U188" s="66"/>
      <c r="V188" s="66"/>
      <c r="W188" s="66"/>
      <c r="X188" s="66"/>
      <c r="Y188" s="66"/>
      <c r="Z188" s="66"/>
      <c r="AA188" s="66"/>
      <c r="AB188" s="66"/>
      <c r="AC188" s="66"/>
      <c r="AD188" s="66"/>
      <c r="AE188" s="67"/>
    </row>
    <row r="189" spans="2:31" ht="15.75" thickTop="1" x14ac:dyDescent="0.25">
      <c r="C189" s="97"/>
      <c r="D189" s="97"/>
      <c r="E189" s="97"/>
      <c r="F189" s="97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</row>
    <row r="190" spans="2:31" x14ac:dyDescent="0.25">
      <c r="C190" s="97"/>
      <c r="D190" s="97"/>
      <c r="E190" s="97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</row>
    <row r="191" spans="2:31" x14ac:dyDescent="0.25">
      <c r="C191" s="97"/>
      <c r="D191" s="97"/>
      <c r="E191" s="97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</row>
    <row r="192" spans="2:31" x14ac:dyDescent="0.25">
      <c r="C192" s="97"/>
      <c r="D192" s="97"/>
      <c r="E192" s="97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</row>
    <row r="193" spans="3:18" x14ac:dyDescent="0.25">
      <c r="C193" s="97"/>
      <c r="D193" s="97"/>
      <c r="E193" s="97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</row>
    <row r="194" spans="3:18" x14ac:dyDescent="0.25">
      <c r="C194" s="97"/>
      <c r="D194" s="97"/>
      <c r="E194" s="97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</row>
    <row r="195" spans="3:18" x14ac:dyDescent="0.25">
      <c r="C195" s="97"/>
      <c r="D195" s="97"/>
      <c r="E195" s="97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</row>
    <row r="196" spans="3:18" x14ac:dyDescent="0.25">
      <c r="C196" s="97"/>
      <c r="D196" s="97"/>
      <c r="E196" s="97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</row>
    <row r="197" spans="3:18" x14ac:dyDescent="0.25">
      <c r="C197" s="98"/>
      <c r="D197" s="98"/>
      <c r="E197" s="98"/>
      <c r="F197" s="98"/>
      <c r="G197" s="98"/>
      <c r="H197" s="98"/>
      <c r="I197" s="98"/>
      <c r="J197" s="98"/>
      <c r="K197" s="98"/>
      <c r="L197" s="98"/>
      <c r="M197" s="98"/>
      <c r="N197" s="98"/>
      <c r="O197" s="98"/>
      <c r="P197" s="98"/>
      <c r="Q197" s="98"/>
      <c r="R197" s="98"/>
    </row>
    <row r="198" spans="3:18" x14ac:dyDescent="0.25">
      <c r="C198" s="98"/>
      <c r="D198" s="98"/>
      <c r="E198" s="98"/>
      <c r="F198" s="98"/>
      <c r="G198" s="98"/>
      <c r="H198" s="98"/>
      <c r="I198" s="98"/>
      <c r="J198" s="98"/>
      <c r="K198" s="98"/>
      <c r="L198" s="98"/>
      <c r="M198" s="98"/>
      <c r="N198" s="98"/>
      <c r="O198" s="98"/>
      <c r="P198" s="98"/>
      <c r="Q198" s="98"/>
      <c r="R198" s="98"/>
    </row>
    <row r="199" spans="3:18" x14ac:dyDescent="0.25">
      <c r="C199" s="98"/>
      <c r="D199" s="98"/>
      <c r="E199" s="98"/>
      <c r="F199" s="98"/>
      <c r="G199" s="98"/>
      <c r="H199" s="98"/>
      <c r="I199" s="98"/>
      <c r="J199" s="98"/>
      <c r="K199" s="98"/>
      <c r="L199" s="98"/>
      <c r="M199" s="98"/>
      <c r="N199" s="98"/>
      <c r="O199" s="98"/>
      <c r="P199" s="98"/>
      <c r="Q199" s="98"/>
      <c r="R199" s="98"/>
    </row>
    <row r="200" spans="3:18" x14ac:dyDescent="0.25">
      <c r="C200" s="98"/>
      <c r="D200" s="98"/>
      <c r="E200" s="98"/>
      <c r="F200" s="98"/>
      <c r="G200" s="98"/>
      <c r="H200" s="98"/>
      <c r="I200" s="98"/>
      <c r="J200" s="98"/>
      <c r="K200" s="98"/>
      <c r="L200" s="98"/>
      <c r="M200" s="98"/>
      <c r="N200" s="98"/>
      <c r="O200" s="98"/>
      <c r="P200" s="98"/>
      <c r="Q200" s="98"/>
      <c r="R200" s="98"/>
    </row>
    <row r="201" spans="3:18" x14ac:dyDescent="0.25">
      <c r="C201" s="98"/>
      <c r="D201" s="98"/>
      <c r="E201" s="98"/>
      <c r="F201" s="98"/>
      <c r="G201" s="98"/>
      <c r="H201" s="98"/>
      <c r="I201" s="98"/>
      <c r="J201" s="98"/>
      <c r="K201" s="98"/>
      <c r="L201" s="98"/>
      <c r="M201" s="98"/>
      <c r="N201" s="98"/>
      <c r="O201" s="98"/>
      <c r="P201" s="98"/>
      <c r="Q201" s="98"/>
      <c r="R201" s="98"/>
    </row>
    <row r="202" spans="3:18" x14ac:dyDescent="0.25">
      <c r="C202" s="98"/>
      <c r="D202" s="98"/>
      <c r="E202" s="98"/>
      <c r="F202" s="98"/>
      <c r="G202" s="98"/>
      <c r="H202" s="98"/>
      <c r="I202" s="98"/>
      <c r="J202" s="98"/>
      <c r="K202" s="98"/>
      <c r="L202" s="98"/>
      <c r="M202" s="98"/>
      <c r="N202" s="98"/>
      <c r="O202" s="98"/>
      <c r="P202" s="98"/>
      <c r="Q202" s="98"/>
      <c r="R202" s="98"/>
    </row>
    <row r="203" spans="3:18" x14ac:dyDescent="0.25">
      <c r="C203" s="98"/>
      <c r="D203" s="98"/>
      <c r="E203" s="98"/>
      <c r="F203" s="98"/>
      <c r="G203" s="98"/>
      <c r="H203" s="98"/>
      <c r="I203" s="98"/>
      <c r="J203" s="98"/>
      <c r="K203" s="98"/>
      <c r="L203" s="98"/>
      <c r="M203" s="98"/>
      <c r="N203" s="98"/>
      <c r="O203" s="98"/>
      <c r="P203" s="98"/>
      <c r="Q203" s="98"/>
      <c r="R203" s="98"/>
    </row>
    <row r="204" spans="3:18" x14ac:dyDescent="0.25">
      <c r="C204" s="98"/>
      <c r="D204" s="98"/>
      <c r="E204" s="98"/>
      <c r="F204" s="98"/>
      <c r="G204" s="98"/>
      <c r="H204" s="98"/>
      <c r="I204" s="98"/>
      <c r="J204" s="98"/>
      <c r="K204" s="98"/>
      <c r="L204" s="98"/>
      <c r="M204" s="98"/>
      <c r="N204" s="98"/>
      <c r="O204" s="98"/>
      <c r="P204" s="98"/>
      <c r="Q204" s="98"/>
      <c r="R204" s="98"/>
    </row>
    <row r="205" spans="3:18" x14ac:dyDescent="0.25">
      <c r="C205" s="98"/>
      <c r="D205" s="98"/>
      <c r="E205" s="98"/>
      <c r="F205" s="98"/>
      <c r="G205" s="98"/>
      <c r="H205" s="98"/>
      <c r="I205" s="98"/>
      <c r="J205" s="98"/>
      <c r="K205" s="98"/>
      <c r="L205" s="98"/>
      <c r="M205" s="98"/>
      <c r="N205" s="98"/>
      <c r="O205" s="98"/>
      <c r="P205" s="98"/>
      <c r="Q205" s="98"/>
      <c r="R205" s="98"/>
    </row>
    <row r="206" spans="3:18" x14ac:dyDescent="0.25">
      <c r="C206" s="98"/>
      <c r="D206" s="98"/>
      <c r="E206" s="98"/>
      <c r="F206" s="98"/>
      <c r="G206" s="98"/>
      <c r="H206" s="98"/>
      <c r="I206" s="98"/>
      <c r="J206" s="98"/>
      <c r="K206" s="98"/>
      <c r="L206" s="98"/>
      <c r="M206" s="98"/>
      <c r="N206" s="98"/>
      <c r="O206" s="98"/>
      <c r="P206" s="98"/>
      <c r="Q206" s="98"/>
      <c r="R206" s="98"/>
    </row>
    <row r="207" spans="3:18" x14ac:dyDescent="0.25">
      <c r="C207" s="98"/>
      <c r="D207" s="98"/>
      <c r="E207" s="98"/>
      <c r="F207" s="98"/>
      <c r="G207" s="98"/>
      <c r="H207" s="98"/>
      <c r="I207" s="98"/>
      <c r="J207" s="98"/>
      <c r="K207" s="98"/>
      <c r="L207" s="98"/>
      <c r="M207" s="98"/>
      <c r="N207" s="98"/>
      <c r="O207" s="98"/>
      <c r="P207" s="98"/>
      <c r="Q207" s="98"/>
      <c r="R207" s="98"/>
    </row>
    <row r="208" spans="3:18" x14ac:dyDescent="0.25">
      <c r="C208" s="98"/>
      <c r="D208" s="98"/>
      <c r="E208" s="98"/>
      <c r="F208" s="98"/>
      <c r="G208" s="98"/>
      <c r="H208" s="98"/>
      <c r="I208" s="98"/>
      <c r="J208" s="98"/>
      <c r="K208" s="98"/>
      <c r="L208" s="98"/>
      <c r="M208" s="98"/>
      <c r="N208" s="98"/>
      <c r="O208" s="98"/>
      <c r="P208" s="98"/>
      <c r="Q208" s="98"/>
      <c r="R208" s="98"/>
    </row>
    <row r="209" spans="3:18" x14ac:dyDescent="0.25">
      <c r="C209" s="98"/>
      <c r="D209" s="98"/>
      <c r="E209" s="98"/>
      <c r="F209" s="98"/>
      <c r="G209" s="98"/>
      <c r="H209" s="98"/>
      <c r="I209" s="98"/>
      <c r="J209" s="98"/>
      <c r="K209" s="98"/>
      <c r="L209" s="98"/>
      <c r="M209" s="98"/>
      <c r="N209" s="98"/>
      <c r="O209" s="98"/>
      <c r="P209" s="98"/>
      <c r="Q209" s="98"/>
      <c r="R209" s="98"/>
    </row>
    <row r="210" spans="3:18" x14ac:dyDescent="0.25">
      <c r="C210" s="98"/>
      <c r="D210" s="98"/>
      <c r="E210" s="98"/>
      <c r="F210" s="98"/>
      <c r="G210" s="98"/>
      <c r="H210" s="98"/>
      <c r="I210" s="98"/>
      <c r="J210" s="98"/>
      <c r="K210" s="98"/>
      <c r="L210" s="98"/>
      <c r="M210" s="98"/>
      <c r="N210" s="98"/>
      <c r="O210" s="98"/>
      <c r="P210" s="98"/>
      <c r="Q210" s="98"/>
      <c r="R210" s="98"/>
    </row>
    <row r="211" spans="3:18" x14ac:dyDescent="0.25">
      <c r="C211" s="98"/>
      <c r="D211" s="98"/>
      <c r="E211" s="98"/>
      <c r="F211" s="98"/>
      <c r="G211" s="98"/>
      <c r="H211" s="98"/>
      <c r="I211" s="98"/>
      <c r="J211" s="98"/>
      <c r="K211" s="98"/>
      <c r="L211" s="98"/>
      <c r="M211" s="98"/>
      <c r="N211" s="98"/>
      <c r="O211" s="98"/>
      <c r="P211" s="98"/>
      <c r="Q211" s="98"/>
      <c r="R211" s="98"/>
    </row>
    <row r="212" spans="3:18" x14ac:dyDescent="0.25">
      <c r="C212" s="98"/>
      <c r="D212" s="98"/>
      <c r="E212" s="98"/>
      <c r="F212" s="98"/>
      <c r="G212" s="98"/>
      <c r="H212" s="98"/>
      <c r="I212" s="98"/>
      <c r="J212" s="98"/>
      <c r="K212" s="98"/>
      <c r="L212" s="98"/>
      <c r="M212" s="98"/>
      <c r="N212" s="98"/>
      <c r="O212" s="98"/>
      <c r="P212" s="98"/>
      <c r="Q212" s="98"/>
      <c r="R212" s="98"/>
    </row>
    <row r="213" spans="3:18" x14ac:dyDescent="0.25">
      <c r="C213" s="54"/>
      <c r="D213" s="69"/>
      <c r="E213" s="69"/>
      <c r="F213" s="69"/>
      <c r="G213" s="81"/>
      <c r="H213" s="69"/>
      <c r="I213" s="69"/>
      <c r="J213" s="69"/>
      <c r="K213" s="55"/>
      <c r="L213" s="55"/>
      <c r="M213" s="55"/>
      <c r="N213" s="55"/>
      <c r="O213" s="55"/>
      <c r="P213" s="55"/>
      <c r="Q213" s="62"/>
      <c r="R213" s="62"/>
    </row>
    <row r="214" spans="3:18" x14ac:dyDescent="0.25">
      <c r="C214" s="54"/>
      <c r="D214" s="69"/>
      <c r="E214" s="69"/>
      <c r="F214" s="69"/>
      <c r="G214" s="81"/>
      <c r="H214" s="69"/>
      <c r="I214" s="69"/>
      <c r="J214" s="69"/>
      <c r="K214" s="55"/>
      <c r="L214" s="55"/>
      <c r="M214" s="55"/>
      <c r="N214" s="55"/>
      <c r="O214" s="55"/>
      <c r="P214" s="55"/>
      <c r="Q214" s="62"/>
      <c r="R214" s="62"/>
    </row>
    <row r="215" spans="3:18" x14ac:dyDescent="0.25">
      <c r="C215" s="54"/>
      <c r="D215" s="69"/>
      <c r="E215" s="69"/>
      <c r="F215" s="69"/>
      <c r="G215" s="81"/>
      <c r="H215" s="69"/>
      <c r="I215" s="69"/>
      <c r="J215" s="69"/>
      <c r="K215" s="55"/>
      <c r="L215" s="55"/>
      <c r="M215" s="55"/>
      <c r="N215" s="55"/>
      <c r="O215" s="55"/>
      <c r="P215" s="55"/>
      <c r="Q215" s="62"/>
      <c r="R215" s="62"/>
    </row>
    <row r="216" spans="3:18" x14ac:dyDescent="0.25">
      <c r="C216" s="54"/>
      <c r="D216" s="69"/>
      <c r="E216" s="69"/>
      <c r="F216" s="69"/>
      <c r="G216" s="81"/>
      <c r="H216" s="69"/>
      <c r="I216" s="69"/>
      <c r="J216" s="69"/>
      <c r="K216" s="55"/>
      <c r="L216" s="55"/>
      <c r="M216" s="55"/>
      <c r="N216" s="55"/>
      <c r="O216" s="55"/>
      <c r="P216" s="55"/>
      <c r="Q216" s="62"/>
      <c r="R216" s="62"/>
    </row>
    <row r="217" spans="3:18" x14ac:dyDescent="0.25">
      <c r="C217" s="54"/>
      <c r="D217" s="69"/>
      <c r="E217" s="69"/>
      <c r="F217" s="69"/>
      <c r="G217" s="81"/>
      <c r="H217" s="69"/>
      <c r="I217" s="69"/>
      <c r="J217" s="69"/>
      <c r="K217" s="55"/>
      <c r="L217" s="55"/>
      <c r="M217" s="55"/>
      <c r="N217" s="55"/>
      <c r="O217" s="55"/>
      <c r="P217" s="55"/>
      <c r="Q217" s="62"/>
      <c r="R217" s="62"/>
    </row>
    <row r="218" spans="3:18" x14ac:dyDescent="0.25">
      <c r="C218" s="54"/>
      <c r="D218" s="69"/>
      <c r="E218" s="69"/>
      <c r="F218" s="69"/>
      <c r="G218" s="81"/>
      <c r="H218" s="69"/>
      <c r="I218" s="69"/>
      <c r="J218" s="69"/>
      <c r="K218" s="55"/>
      <c r="L218" s="55"/>
      <c r="M218" s="55"/>
      <c r="N218" s="55"/>
      <c r="O218" s="55"/>
      <c r="P218" s="55"/>
      <c r="Q218" s="62"/>
      <c r="R218" s="62"/>
    </row>
    <row r="219" spans="3:18" x14ac:dyDescent="0.25">
      <c r="C219" s="54"/>
      <c r="D219" s="69"/>
      <c r="E219" s="69"/>
      <c r="F219" s="69"/>
      <c r="G219" s="81"/>
      <c r="H219" s="69"/>
      <c r="I219" s="69"/>
      <c r="J219" s="69"/>
      <c r="K219" s="55"/>
      <c r="L219" s="55"/>
      <c r="M219" s="55"/>
      <c r="N219" s="55"/>
      <c r="O219" s="55"/>
      <c r="P219" s="55"/>
      <c r="Q219" s="59"/>
      <c r="R219" s="59"/>
    </row>
    <row r="220" spans="3:18" x14ac:dyDescent="0.25">
      <c r="C220" s="54"/>
      <c r="D220" s="69"/>
      <c r="E220" s="69"/>
      <c r="F220" s="69"/>
      <c r="G220" s="81"/>
      <c r="H220" s="69"/>
      <c r="I220" s="69"/>
      <c r="J220" s="69"/>
      <c r="K220" s="55"/>
      <c r="L220" s="55"/>
      <c r="M220" s="55"/>
      <c r="N220" s="55"/>
      <c r="O220" s="55"/>
      <c r="P220" s="55"/>
      <c r="Q220" s="62"/>
      <c r="R220" s="62"/>
    </row>
    <row r="221" spans="3:18" x14ac:dyDescent="0.25">
      <c r="C221" s="54"/>
      <c r="D221" s="69"/>
      <c r="E221" s="69"/>
      <c r="F221" s="69"/>
      <c r="G221" s="81"/>
      <c r="H221" s="69"/>
      <c r="I221" s="69"/>
      <c r="J221" s="69"/>
      <c r="K221" s="55"/>
      <c r="L221" s="55"/>
      <c r="M221" s="55"/>
      <c r="N221" s="55"/>
      <c r="O221" s="55"/>
      <c r="P221" s="55"/>
      <c r="Q221" s="62"/>
      <c r="R221" s="62"/>
    </row>
    <row r="222" spans="3:18" x14ac:dyDescent="0.25">
      <c r="C222" s="54"/>
      <c r="D222" s="69"/>
      <c r="E222" s="69"/>
      <c r="F222" s="69"/>
      <c r="G222" s="81"/>
      <c r="H222" s="69"/>
      <c r="I222" s="69"/>
      <c r="J222" s="69"/>
      <c r="K222" s="55"/>
      <c r="L222" s="55"/>
      <c r="M222" s="55"/>
      <c r="N222" s="55"/>
      <c r="O222" s="55"/>
      <c r="P222" s="55"/>
      <c r="Q222" s="62"/>
      <c r="R222" s="62"/>
    </row>
    <row r="223" spans="3:18" x14ac:dyDescent="0.25">
      <c r="C223" s="54"/>
      <c r="D223" s="69"/>
      <c r="E223" s="69"/>
      <c r="F223" s="69"/>
      <c r="G223" s="81"/>
      <c r="H223" s="69"/>
      <c r="I223" s="69"/>
      <c r="J223" s="69"/>
      <c r="K223" s="55"/>
      <c r="L223" s="55"/>
      <c r="M223" s="55"/>
      <c r="N223" s="55"/>
      <c r="O223" s="55"/>
      <c r="P223" s="55"/>
      <c r="Q223" s="62"/>
      <c r="R223" s="62"/>
    </row>
    <row r="224" spans="3:18" x14ac:dyDescent="0.25">
      <c r="C224" s="54"/>
      <c r="D224" s="69"/>
      <c r="E224" s="69"/>
      <c r="F224" s="69"/>
      <c r="G224" s="81"/>
      <c r="H224" s="69"/>
      <c r="I224" s="69"/>
      <c r="J224" s="69"/>
      <c r="K224" s="55"/>
      <c r="L224" s="55"/>
      <c r="M224" s="55"/>
      <c r="N224" s="55"/>
      <c r="O224" s="55"/>
      <c r="P224" s="55"/>
      <c r="Q224" s="62"/>
      <c r="R224" s="62"/>
    </row>
    <row r="225" spans="3:18" x14ac:dyDescent="0.25">
      <c r="C225" s="54"/>
      <c r="D225" s="69"/>
      <c r="E225" s="69"/>
      <c r="F225" s="69"/>
      <c r="G225" s="81"/>
      <c r="H225" s="69"/>
      <c r="I225" s="69"/>
      <c r="J225" s="69"/>
      <c r="K225" s="55"/>
      <c r="L225" s="55"/>
      <c r="M225" s="55"/>
      <c r="N225" s="55"/>
      <c r="O225" s="55"/>
      <c r="P225" s="55"/>
      <c r="Q225" s="62"/>
      <c r="R225" s="62"/>
    </row>
    <row r="226" spans="3:18" x14ac:dyDescent="0.25">
      <c r="C226" s="54"/>
      <c r="D226" s="69"/>
      <c r="E226" s="69"/>
      <c r="F226" s="69"/>
      <c r="G226" s="81"/>
      <c r="H226" s="69"/>
      <c r="I226" s="69"/>
      <c r="J226" s="69"/>
      <c r="K226" s="55"/>
      <c r="L226" s="55"/>
      <c r="M226" s="55"/>
      <c r="N226" s="55"/>
      <c r="O226" s="55"/>
      <c r="P226" s="55"/>
      <c r="Q226" s="62"/>
      <c r="R226" s="62"/>
    </row>
    <row r="227" spans="3:18" x14ac:dyDescent="0.25">
      <c r="C227" s="54"/>
      <c r="D227" s="69"/>
      <c r="E227" s="69"/>
      <c r="F227" s="69"/>
      <c r="G227" s="81"/>
      <c r="H227" s="69"/>
      <c r="I227" s="69"/>
      <c r="J227" s="69"/>
      <c r="K227" s="55"/>
      <c r="L227" s="55"/>
      <c r="M227" s="55"/>
      <c r="N227" s="55"/>
      <c r="O227" s="55"/>
      <c r="P227" s="55"/>
      <c r="Q227" s="62"/>
      <c r="R227" s="62"/>
    </row>
    <row r="228" spans="3:18" x14ac:dyDescent="0.25">
      <c r="C228" s="54"/>
      <c r="D228" s="69"/>
      <c r="E228" s="69"/>
      <c r="F228" s="69"/>
      <c r="G228" s="81"/>
      <c r="H228" s="69"/>
      <c r="I228" s="69"/>
      <c r="J228" s="69"/>
      <c r="K228" s="55"/>
      <c r="L228" s="55"/>
      <c r="M228" s="55"/>
      <c r="N228" s="55"/>
      <c r="O228" s="55"/>
      <c r="P228" s="55"/>
      <c r="Q228" s="62"/>
      <c r="R228" s="62"/>
    </row>
    <row r="229" spans="3:18" x14ac:dyDescent="0.25">
      <c r="C229" s="54"/>
      <c r="D229" s="69"/>
      <c r="E229" s="69"/>
      <c r="F229" s="69"/>
      <c r="G229" s="81"/>
      <c r="H229" s="69"/>
      <c r="I229" s="69"/>
      <c r="J229" s="69"/>
      <c r="K229" s="55"/>
      <c r="L229" s="55"/>
      <c r="M229" s="55"/>
      <c r="N229" s="55"/>
      <c r="O229" s="55"/>
      <c r="P229" s="55"/>
      <c r="Q229" s="62"/>
      <c r="R229" s="62"/>
    </row>
    <row r="230" spans="3:18" x14ac:dyDescent="0.25">
      <c r="C230" s="54"/>
      <c r="D230" s="69"/>
      <c r="E230" s="69"/>
      <c r="F230" s="69"/>
      <c r="G230" s="81"/>
      <c r="H230" s="69"/>
      <c r="I230" s="69"/>
      <c r="J230" s="69"/>
      <c r="K230" s="55"/>
      <c r="L230" s="55"/>
      <c r="M230" s="55"/>
      <c r="N230" s="55"/>
      <c r="O230" s="55"/>
      <c r="P230" s="55"/>
      <c r="Q230" s="62"/>
      <c r="R230" s="62"/>
    </row>
    <row r="231" spans="3:18" x14ac:dyDescent="0.25">
      <c r="C231" s="54"/>
      <c r="D231" s="69"/>
      <c r="E231" s="69"/>
      <c r="F231" s="69"/>
      <c r="G231" s="81"/>
      <c r="H231" s="69"/>
      <c r="I231" s="69"/>
      <c r="J231" s="69"/>
      <c r="K231" s="55"/>
      <c r="L231" s="55"/>
      <c r="M231" s="55"/>
      <c r="N231" s="55"/>
      <c r="O231" s="55"/>
      <c r="P231" s="55"/>
      <c r="Q231" s="62"/>
      <c r="R231" s="62"/>
    </row>
    <row r="232" spans="3:18" x14ac:dyDescent="0.25">
      <c r="C232" s="54"/>
      <c r="D232" s="69"/>
      <c r="E232" s="69"/>
      <c r="F232" s="69"/>
      <c r="G232" s="81"/>
      <c r="H232" s="69"/>
      <c r="I232" s="69"/>
      <c r="J232" s="69"/>
      <c r="K232" s="55"/>
      <c r="L232" s="55"/>
      <c r="M232" s="55"/>
      <c r="N232" s="55"/>
      <c r="O232" s="55"/>
      <c r="P232" s="55"/>
      <c r="Q232" s="62"/>
      <c r="R232" s="62"/>
    </row>
    <row r="233" spans="3:18" x14ac:dyDescent="0.25">
      <c r="C233" s="54"/>
      <c r="D233" s="69"/>
      <c r="E233" s="69"/>
      <c r="F233" s="69"/>
      <c r="G233" s="81"/>
      <c r="H233" s="69"/>
      <c r="I233" s="69"/>
      <c r="J233" s="69"/>
      <c r="K233" s="55"/>
      <c r="L233" s="55"/>
      <c r="M233" s="55"/>
      <c r="N233" s="55"/>
      <c r="O233" s="55"/>
      <c r="P233" s="55"/>
      <c r="Q233" s="62"/>
      <c r="R233" s="62"/>
    </row>
    <row r="234" spans="3:18" x14ac:dyDescent="0.25">
      <c r="C234" s="54"/>
      <c r="D234" s="69"/>
      <c r="E234" s="69"/>
      <c r="F234" s="69"/>
      <c r="G234" s="81"/>
      <c r="H234" s="69"/>
      <c r="I234" s="69"/>
      <c r="J234" s="69"/>
      <c r="K234" s="55"/>
      <c r="L234" s="55"/>
      <c r="M234" s="55"/>
      <c r="N234" s="55"/>
      <c r="O234" s="55"/>
      <c r="P234" s="55"/>
      <c r="Q234" s="62"/>
      <c r="R234" s="62"/>
    </row>
    <row r="235" spans="3:18" x14ac:dyDescent="0.25">
      <c r="C235" s="54"/>
      <c r="D235" s="69"/>
      <c r="E235" s="69"/>
      <c r="F235" s="69"/>
      <c r="G235" s="81"/>
      <c r="H235" s="69"/>
      <c r="I235" s="69"/>
      <c r="J235" s="69"/>
      <c r="K235" s="55"/>
      <c r="L235" s="55"/>
      <c r="M235" s="55"/>
      <c r="N235" s="55"/>
      <c r="O235" s="55"/>
      <c r="P235" s="55"/>
      <c r="Q235" s="62"/>
      <c r="R235" s="62"/>
    </row>
    <row r="236" spans="3:18" x14ac:dyDescent="0.25">
      <c r="C236" s="54"/>
      <c r="D236" s="69"/>
      <c r="E236" s="69"/>
      <c r="F236" s="69"/>
      <c r="G236" s="81"/>
      <c r="H236" s="69"/>
      <c r="I236" s="69"/>
      <c r="J236" s="69"/>
      <c r="K236" s="55"/>
      <c r="L236" s="55"/>
      <c r="M236" s="55"/>
      <c r="N236" s="55"/>
      <c r="O236" s="55"/>
      <c r="P236" s="55"/>
      <c r="Q236" s="62"/>
      <c r="R236" s="62"/>
    </row>
    <row r="237" spans="3:18" x14ac:dyDescent="0.25">
      <c r="C237" s="54"/>
      <c r="D237" s="69"/>
      <c r="E237" s="69"/>
      <c r="F237" s="69"/>
      <c r="G237" s="81"/>
      <c r="H237" s="69"/>
      <c r="I237" s="69"/>
      <c r="J237" s="69"/>
      <c r="K237" s="55"/>
      <c r="L237" s="55"/>
      <c r="M237" s="55"/>
      <c r="N237" s="55"/>
      <c r="O237" s="55"/>
      <c r="P237" s="55"/>
      <c r="Q237" s="59"/>
      <c r="R237" s="59"/>
    </row>
    <row r="238" spans="3:18" x14ac:dyDescent="0.25">
      <c r="C238" s="54"/>
      <c r="D238" s="69"/>
      <c r="E238" s="69"/>
      <c r="F238" s="69"/>
      <c r="G238" s="81"/>
      <c r="H238" s="69"/>
      <c r="I238" s="69"/>
      <c r="J238" s="69"/>
      <c r="K238" s="55"/>
      <c r="L238" s="55"/>
      <c r="M238" s="55"/>
      <c r="N238" s="55"/>
      <c r="O238" s="55"/>
      <c r="P238" s="55"/>
      <c r="Q238" s="62"/>
      <c r="R238" s="62"/>
    </row>
    <row r="239" spans="3:18" x14ac:dyDescent="0.25">
      <c r="C239" s="54"/>
      <c r="D239" s="69"/>
      <c r="E239" s="69"/>
      <c r="F239" s="69"/>
      <c r="G239" s="81"/>
      <c r="H239" s="69"/>
      <c r="I239" s="69"/>
      <c r="J239" s="69"/>
      <c r="K239" s="55"/>
      <c r="L239" s="55"/>
      <c r="M239" s="55"/>
      <c r="N239" s="55"/>
      <c r="O239" s="55"/>
      <c r="P239" s="55"/>
      <c r="Q239" s="62"/>
      <c r="R239" s="62"/>
    </row>
    <row r="240" spans="3:18" x14ac:dyDescent="0.25">
      <c r="C240" s="54"/>
      <c r="D240" s="69"/>
      <c r="E240" s="69"/>
      <c r="F240" s="69"/>
      <c r="G240" s="81"/>
      <c r="H240" s="69"/>
      <c r="I240" s="69"/>
      <c r="J240" s="69"/>
      <c r="K240" s="55"/>
      <c r="L240" s="55"/>
      <c r="M240" s="55"/>
      <c r="N240" s="55"/>
      <c r="O240" s="55"/>
      <c r="P240" s="55"/>
      <c r="Q240" s="62"/>
      <c r="R240" s="62"/>
    </row>
    <row r="241" spans="3:18" x14ac:dyDescent="0.25">
      <c r="C241" s="54"/>
      <c r="D241" s="69"/>
      <c r="E241" s="69"/>
      <c r="F241" s="69"/>
      <c r="G241" s="81"/>
      <c r="H241" s="69"/>
      <c r="I241" s="69"/>
      <c r="J241" s="69"/>
      <c r="K241" s="55"/>
      <c r="L241" s="55"/>
      <c r="M241" s="55"/>
      <c r="N241" s="55"/>
      <c r="O241" s="55"/>
      <c r="P241" s="55"/>
      <c r="Q241" s="62"/>
      <c r="R241" s="62"/>
    </row>
    <row r="242" spans="3:18" x14ac:dyDescent="0.25">
      <c r="C242" s="54"/>
      <c r="D242" s="69"/>
      <c r="E242" s="69"/>
      <c r="F242" s="69"/>
      <c r="G242" s="81"/>
      <c r="H242" s="69"/>
      <c r="I242" s="69"/>
      <c r="J242" s="69"/>
      <c r="K242" s="55"/>
      <c r="L242" s="55"/>
      <c r="M242" s="55"/>
      <c r="N242" s="55"/>
      <c r="O242" s="55"/>
      <c r="P242" s="55"/>
      <c r="Q242" s="62"/>
      <c r="R242" s="62"/>
    </row>
    <row r="243" spans="3:18" x14ac:dyDescent="0.25">
      <c r="C243" s="54"/>
      <c r="D243" s="69"/>
      <c r="E243" s="69"/>
      <c r="F243" s="69"/>
      <c r="G243" s="81"/>
      <c r="H243" s="69"/>
      <c r="I243" s="69"/>
      <c r="J243" s="69"/>
      <c r="K243" s="55"/>
      <c r="L243" s="55"/>
      <c r="M243" s="55"/>
      <c r="N243" s="55"/>
      <c r="O243" s="55"/>
      <c r="P243" s="55"/>
      <c r="Q243" s="62"/>
      <c r="R243" s="62"/>
    </row>
    <row r="244" spans="3:18" x14ac:dyDescent="0.25">
      <c r="C244" s="54"/>
      <c r="D244" s="69"/>
      <c r="E244" s="69"/>
      <c r="F244" s="69"/>
      <c r="G244" s="81"/>
      <c r="H244" s="69"/>
      <c r="I244" s="69"/>
      <c r="J244" s="69"/>
      <c r="K244" s="55"/>
      <c r="L244" s="55"/>
      <c r="M244" s="55"/>
      <c r="N244" s="55"/>
      <c r="O244" s="55"/>
      <c r="P244" s="55"/>
      <c r="Q244" s="62"/>
      <c r="R244" s="62"/>
    </row>
    <row r="245" spans="3:18" x14ac:dyDescent="0.25">
      <c r="C245" s="54"/>
      <c r="D245" s="69"/>
      <c r="E245" s="69"/>
      <c r="F245" s="69"/>
      <c r="G245" s="81"/>
      <c r="H245" s="69"/>
      <c r="I245" s="69"/>
      <c r="J245" s="69"/>
      <c r="K245" s="55"/>
      <c r="L245" s="55"/>
      <c r="M245" s="55"/>
      <c r="N245" s="55"/>
      <c r="O245" s="55"/>
      <c r="P245" s="55"/>
      <c r="Q245" s="62"/>
      <c r="R245" s="62"/>
    </row>
    <row r="246" spans="3:18" x14ac:dyDescent="0.25">
      <c r="C246" s="54"/>
      <c r="D246" s="69"/>
      <c r="E246" s="69"/>
      <c r="F246" s="69"/>
      <c r="G246" s="81"/>
      <c r="H246" s="69"/>
      <c r="I246" s="69"/>
      <c r="J246" s="69"/>
      <c r="K246" s="55"/>
      <c r="L246" s="55"/>
      <c r="M246" s="55"/>
      <c r="N246" s="55"/>
      <c r="O246" s="55"/>
      <c r="P246" s="55"/>
      <c r="Q246" s="62"/>
      <c r="R246" s="62"/>
    </row>
    <row r="247" spans="3:18" x14ac:dyDescent="0.25">
      <c r="C247" s="54"/>
      <c r="D247" s="69"/>
      <c r="E247" s="69"/>
      <c r="F247" s="69"/>
      <c r="G247" s="81"/>
      <c r="H247" s="69"/>
      <c r="I247" s="69"/>
      <c r="J247" s="69"/>
      <c r="K247" s="55"/>
      <c r="L247" s="55"/>
      <c r="M247" s="55"/>
      <c r="N247" s="55"/>
      <c r="O247" s="55"/>
      <c r="P247" s="55"/>
      <c r="Q247" s="62"/>
      <c r="R247" s="62"/>
    </row>
    <row r="248" spans="3:18" x14ac:dyDescent="0.25">
      <c r="C248" s="54"/>
      <c r="D248" s="69"/>
      <c r="E248" s="69"/>
      <c r="F248" s="69"/>
      <c r="G248" s="81"/>
      <c r="H248" s="69"/>
      <c r="I248" s="69"/>
      <c r="J248" s="69"/>
      <c r="K248" s="55"/>
      <c r="L248" s="55"/>
      <c r="M248" s="55"/>
      <c r="N248" s="55"/>
      <c r="O248" s="55"/>
      <c r="P248" s="55"/>
      <c r="Q248" s="62"/>
      <c r="R248" s="62"/>
    </row>
    <row r="249" spans="3:18" x14ac:dyDescent="0.25">
      <c r="C249" s="54"/>
      <c r="D249" s="69"/>
      <c r="E249" s="69"/>
      <c r="F249" s="69"/>
      <c r="G249" s="81"/>
      <c r="H249" s="69"/>
      <c r="I249" s="69"/>
      <c r="J249" s="69"/>
      <c r="K249" s="55"/>
      <c r="L249" s="55"/>
      <c r="M249" s="55"/>
      <c r="N249" s="55"/>
      <c r="O249" s="55"/>
      <c r="P249" s="55"/>
      <c r="Q249" s="62"/>
      <c r="R249" s="62"/>
    </row>
    <row r="250" spans="3:18" x14ac:dyDescent="0.25">
      <c r="C250" s="54"/>
      <c r="D250" s="69"/>
      <c r="E250" s="69"/>
      <c r="F250" s="69"/>
      <c r="G250" s="81"/>
      <c r="H250" s="69"/>
      <c r="I250" s="69"/>
      <c r="J250" s="69"/>
      <c r="K250" s="55"/>
      <c r="L250" s="55"/>
      <c r="M250" s="55"/>
      <c r="N250" s="55"/>
      <c r="O250" s="55"/>
      <c r="P250" s="55"/>
      <c r="Q250" s="62"/>
      <c r="R250" s="62"/>
    </row>
    <row r="251" spans="3:18" x14ac:dyDescent="0.25">
      <c r="C251" s="54"/>
      <c r="D251" s="69"/>
      <c r="E251" s="69"/>
      <c r="F251" s="69"/>
      <c r="G251" s="81"/>
      <c r="H251" s="69"/>
      <c r="I251" s="69"/>
      <c r="J251" s="69"/>
      <c r="K251" s="55"/>
      <c r="L251" s="55"/>
      <c r="M251" s="55"/>
      <c r="N251" s="55"/>
      <c r="O251" s="55"/>
      <c r="P251" s="55"/>
      <c r="Q251" s="62"/>
      <c r="R251" s="62"/>
    </row>
    <row r="252" spans="3:18" x14ac:dyDescent="0.25">
      <c r="C252" s="54"/>
      <c r="D252" s="69"/>
      <c r="E252" s="69"/>
      <c r="F252" s="69"/>
      <c r="G252" s="81"/>
      <c r="H252" s="69"/>
      <c r="I252" s="69"/>
      <c r="J252" s="69"/>
      <c r="K252" s="55"/>
      <c r="L252" s="55"/>
      <c r="M252" s="55"/>
      <c r="N252" s="55"/>
      <c r="O252" s="55"/>
      <c r="P252" s="55"/>
      <c r="Q252" s="62"/>
      <c r="R252" s="62"/>
    </row>
    <row r="253" spans="3:18" x14ac:dyDescent="0.25">
      <c r="C253" s="54"/>
      <c r="D253" s="69"/>
      <c r="E253" s="69"/>
      <c r="F253" s="69"/>
      <c r="G253" s="81"/>
      <c r="H253" s="69"/>
      <c r="I253" s="69"/>
      <c r="J253" s="69"/>
      <c r="K253" s="55"/>
      <c r="L253" s="55"/>
      <c r="M253" s="55"/>
      <c r="N253" s="55"/>
      <c r="O253" s="55"/>
      <c r="P253" s="55"/>
      <c r="Q253" s="62"/>
      <c r="R253" s="62"/>
    </row>
    <row r="254" spans="3:18" ht="15.75" thickBot="1" x14ac:dyDescent="0.3">
      <c r="C254" s="54"/>
      <c r="D254" s="69"/>
      <c r="E254" s="69"/>
      <c r="F254" s="69"/>
      <c r="G254" s="81"/>
      <c r="H254" s="69"/>
      <c r="I254" s="69"/>
      <c r="J254" s="69"/>
      <c r="K254" s="55"/>
      <c r="L254" s="55"/>
      <c r="M254" s="55"/>
      <c r="N254" s="55"/>
      <c r="O254" s="55"/>
      <c r="P254" s="55"/>
      <c r="Q254" s="66"/>
      <c r="R254" s="66"/>
    </row>
    <row r="255" spans="3:18" ht="15.75" thickTop="1" x14ac:dyDescent="0.25">
      <c r="C255" s="3"/>
      <c r="D255" s="52"/>
      <c r="E255" s="52"/>
      <c r="F255" s="52"/>
      <c r="G255" s="82"/>
      <c r="H255" s="52"/>
      <c r="I255" s="52"/>
      <c r="J255" s="52"/>
      <c r="K255" s="2"/>
      <c r="L255" s="2"/>
      <c r="M255" s="2"/>
      <c r="N255" s="2"/>
      <c r="O255" s="2"/>
      <c r="P255" s="2"/>
    </row>
    <row r="256" spans="3:18" x14ac:dyDescent="0.25">
      <c r="C256" s="3"/>
      <c r="D256" s="52"/>
      <c r="E256" s="52"/>
      <c r="F256" s="52"/>
      <c r="G256" s="82"/>
      <c r="H256" s="52"/>
      <c r="I256" s="52"/>
      <c r="J256" s="52"/>
      <c r="K256" s="2"/>
      <c r="L256" s="2"/>
      <c r="M256" s="2"/>
      <c r="N256" s="2"/>
      <c r="O256" s="2"/>
      <c r="P256" s="2"/>
    </row>
    <row r="257" spans="3:16" x14ac:dyDescent="0.25">
      <c r="C257" s="3"/>
      <c r="D257" s="52"/>
      <c r="E257" s="52"/>
      <c r="F257" s="52"/>
      <c r="G257" s="82"/>
      <c r="H257" s="52"/>
      <c r="I257" s="52"/>
      <c r="J257" s="52"/>
      <c r="K257" s="2"/>
      <c r="L257" s="2"/>
      <c r="M257" s="2"/>
      <c r="N257" s="2"/>
      <c r="O257" s="2"/>
      <c r="P257" s="2"/>
    </row>
    <row r="258" spans="3:16" x14ac:dyDescent="0.25">
      <c r="C258" s="3"/>
    </row>
    <row r="259" spans="3:16" x14ac:dyDescent="0.25">
      <c r="C259" s="3"/>
    </row>
    <row r="260" spans="3:16" x14ac:dyDescent="0.25">
      <c r="C260" s="3"/>
    </row>
    <row r="261" spans="3:16" x14ac:dyDescent="0.25">
      <c r="C261" s="3"/>
    </row>
    <row r="262" spans="3:16" x14ac:dyDescent="0.25">
      <c r="C262" s="3"/>
    </row>
    <row r="263" spans="3:16" x14ac:dyDescent="0.25">
      <c r="C263" s="3"/>
    </row>
    <row r="264" spans="3:16" x14ac:dyDescent="0.25">
      <c r="C264" s="3"/>
    </row>
    <row r="265" spans="3:16" x14ac:dyDescent="0.25">
      <c r="C265" s="3"/>
    </row>
    <row r="266" spans="3:16" x14ac:dyDescent="0.25">
      <c r="C266" s="3"/>
    </row>
    <row r="267" spans="3:16" x14ac:dyDescent="0.25">
      <c r="C267" s="42"/>
    </row>
    <row r="268" spans="3:16" x14ac:dyDescent="0.25">
      <c r="C268" s="42"/>
    </row>
    <row r="269" spans="3:16" x14ac:dyDescent="0.25">
      <c r="C269" s="42"/>
    </row>
    <row r="270" spans="3:16" x14ac:dyDescent="0.25">
      <c r="C270" s="42"/>
    </row>
    <row r="271" spans="3:16" x14ac:dyDescent="0.25">
      <c r="C271" s="42"/>
    </row>
    <row r="272" spans="3:16" x14ac:dyDescent="0.25">
      <c r="C272" s="42"/>
    </row>
    <row r="273" spans="3:3" x14ac:dyDescent="0.25">
      <c r="C273" s="42"/>
    </row>
    <row r="274" spans="3:3" x14ac:dyDescent="0.25">
      <c r="C274" s="42"/>
    </row>
    <row r="275" spans="3:3" x14ac:dyDescent="0.25">
      <c r="C275" s="42"/>
    </row>
    <row r="276" spans="3:3" x14ac:dyDescent="0.25">
      <c r="C276" s="42"/>
    </row>
    <row r="277" spans="3:3" x14ac:dyDescent="0.25">
      <c r="C277" s="42"/>
    </row>
    <row r="278" spans="3:3" x14ac:dyDescent="0.25">
      <c r="C278" s="42"/>
    </row>
    <row r="279" spans="3:3" x14ac:dyDescent="0.25">
      <c r="C279" s="42"/>
    </row>
    <row r="280" spans="3:3" x14ac:dyDescent="0.25">
      <c r="C280" s="42"/>
    </row>
    <row r="281" spans="3:3" x14ac:dyDescent="0.25">
      <c r="C281" s="42"/>
    </row>
    <row r="282" spans="3:3" x14ac:dyDescent="0.25">
      <c r="C282" s="42"/>
    </row>
    <row r="283" spans="3:3" x14ac:dyDescent="0.25">
      <c r="C283" s="42"/>
    </row>
    <row r="284" spans="3:3" x14ac:dyDescent="0.25">
      <c r="C284" s="42"/>
    </row>
    <row r="285" spans="3:3" x14ac:dyDescent="0.25">
      <c r="C285" s="42"/>
    </row>
    <row r="286" spans="3:3" x14ac:dyDescent="0.25">
      <c r="C286" s="42"/>
    </row>
    <row r="287" spans="3:3" x14ac:dyDescent="0.25">
      <c r="C287" s="42"/>
    </row>
    <row r="288" spans="3:3" x14ac:dyDescent="0.25">
      <c r="C288" s="42"/>
    </row>
    <row r="289" spans="3:3" x14ac:dyDescent="0.25">
      <c r="C289" s="42"/>
    </row>
    <row r="290" spans="3:3" x14ac:dyDescent="0.25">
      <c r="C290" s="42"/>
    </row>
    <row r="291" spans="3:3" x14ac:dyDescent="0.25">
      <c r="C291" s="42"/>
    </row>
    <row r="292" spans="3:3" x14ac:dyDescent="0.25">
      <c r="C292" s="42"/>
    </row>
    <row r="293" spans="3:3" x14ac:dyDescent="0.25">
      <c r="C293" s="42"/>
    </row>
  </sheetData>
  <dataConsolidate/>
  <mergeCells count="31">
    <mergeCell ref="I3:W3"/>
    <mergeCell ref="AC3:AE3"/>
    <mergeCell ref="AA6:AD6"/>
    <mergeCell ref="AA7:AB7"/>
    <mergeCell ref="AC7:AD7"/>
    <mergeCell ref="AE6:AE8"/>
    <mergeCell ref="B3:G3"/>
    <mergeCell ref="W6:X6"/>
    <mergeCell ref="Y6:Z6"/>
    <mergeCell ref="W7:W8"/>
    <mergeCell ref="X7:X8"/>
    <mergeCell ref="Y7:Y8"/>
    <mergeCell ref="Z7:Z8"/>
    <mergeCell ref="I7:I8"/>
    <mergeCell ref="H7:H8"/>
    <mergeCell ref="R6:R8"/>
    <mergeCell ref="S7:T7"/>
    <mergeCell ref="S6:V6"/>
    <mergeCell ref="U7:V7"/>
    <mergeCell ref="C6:C8"/>
    <mergeCell ref="B6:B8"/>
    <mergeCell ref="D6:G6"/>
    <mergeCell ref="D7:F7"/>
    <mergeCell ref="G7:G8"/>
    <mergeCell ref="Q6:Q8"/>
    <mergeCell ref="P7:P8"/>
    <mergeCell ref="L7:L8"/>
    <mergeCell ref="K7:K8"/>
    <mergeCell ref="J7:J8"/>
    <mergeCell ref="H6:J6"/>
    <mergeCell ref="K6:P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V53"/>
  <sheetViews>
    <sheetView workbookViewId="0">
      <selection activeCell="S10" sqref="S10"/>
    </sheetView>
  </sheetViews>
  <sheetFormatPr defaultRowHeight="15" x14ac:dyDescent="0.25"/>
  <cols>
    <col min="2" max="2" width="5" bestFit="1" customWidth="1"/>
    <col min="3" max="4" width="25.140625" bestFit="1" customWidth="1"/>
    <col min="5" max="5" width="18.7109375" bestFit="1" customWidth="1"/>
    <col min="6" max="6" width="9" bestFit="1" customWidth="1"/>
    <col min="7" max="7" width="14.42578125" bestFit="1" customWidth="1"/>
    <col min="8" max="8" width="5.140625" bestFit="1" customWidth="1"/>
    <col min="9" max="9" width="13.42578125" bestFit="1" customWidth="1"/>
    <col min="10" max="10" width="9.28515625" bestFit="1" customWidth="1"/>
    <col min="11" max="11" width="6.28515625" bestFit="1" customWidth="1"/>
    <col min="12" max="12" width="21.140625" bestFit="1" customWidth="1"/>
    <col min="16" max="16" width="5" customWidth="1"/>
    <col min="17" max="17" width="8.28515625" customWidth="1"/>
    <col min="19" max="19" width="5" customWidth="1"/>
    <col min="20" max="20" width="18.7109375" customWidth="1"/>
    <col min="21" max="21" width="13.42578125" customWidth="1"/>
    <col min="22" max="22" width="9.28515625" customWidth="1"/>
  </cols>
  <sheetData>
    <row r="2" spans="2:22" x14ac:dyDescent="0.25">
      <c r="B2" t="s">
        <v>22</v>
      </c>
      <c r="C2" t="s">
        <v>50</v>
      </c>
      <c r="D2" t="s">
        <v>51</v>
      </c>
      <c r="E2" t="s">
        <v>52</v>
      </c>
      <c r="F2" t="s">
        <v>53</v>
      </c>
      <c r="G2" t="s">
        <v>30</v>
      </c>
      <c r="H2" t="s">
        <v>54</v>
      </c>
      <c r="I2" t="s">
        <v>55</v>
      </c>
      <c r="J2" t="s">
        <v>347</v>
      </c>
      <c r="K2" t="s">
        <v>348</v>
      </c>
      <c r="L2" t="s">
        <v>349</v>
      </c>
    </row>
    <row r="3" spans="2:22" x14ac:dyDescent="0.25">
      <c r="B3">
        <v>51</v>
      </c>
      <c r="C3" t="s">
        <v>56</v>
      </c>
      <c r="D3" t="s">
        <v>56</v>
      </c>
      <c r="E3" t="s">
        <v>57</v>
      </c>
      <c r="F3" t="s">
        <v>58</v>
      </c>
      <c r="G3" s="1">
        <v>45554.47215277778</v>
      </c>
      <c r="H3">
        <v>1</v>
      </c>
      <c r="I3" t="s">
        <v>59</v>
      </c>
      <c r="J3" t="s">
        <v>350</v>
      </c>
      <c r="K3">
        <v>3</v>
      </c>
    </row>
    <row r="4" spans="2:22" x14ac:dyDescent="0.25">
      <c r="B4">
        <v>52</v>
      </c>
      <c r="C4" t="s">
        <v>47</v>
      </c>
      <c r="D4" t="s">
        <v>47</v>
      </c>
      <c r="E4" t="s">
        <v>57</v>
      </c>
      <c r="F4" t="s">
        <v>58</v>
      </c>
      <c r="G4" s="1">
        <v>45554.47215277778</v>
      </c>
      <c r="H4">
        <v>2</v>
      </c>
      <c r="I4" t="s">
        <v>59</v>
      </c>
      <c r="J4" t="s">
        <v>350</v>
      </c>
      <c r="K4">
        <v>3</v>
      </c>
    </row>
    <row r="5" spans="2:22" x14ac:dyDescent="0.25">
      <c r="B5">
        <v>53</v>
      </c>
      <c r="C5" t="s">
        <v>60</v>
      </c>
      <c r="D5" t="s">
        <v>60</v>
      </c>
      <c r="E5" t="s">
        <v>57</v>
      </c>
      <c r="F5" t="s">
        <v>58</v>
      </c>
      <c r="G5" s="1">
        <v>45554.47215277778</v>
      </c>
      <c r="H5">
        <v>3</v>
      </c>
      <c r="I5" t="s">
        <v>59</v>
      </c>
      <c r="J5" t="s">
        <v>350</v>
      </c>
      <c r="K5">
        <v>3</v>
      </c>
    </row>
    <row r="6" spans="2:22" x14ac:dyDescent="0.25">
      <c r="B6">
        <v>54</v>
      </c>
      <c r="C6" t="s">
        <v>61</v>
      </c>
      <c r="D6" t="s">
        <v>61</v>
      </c>
      <c r="E6" t="s">
        <v>57</v>
      </c>
      <c r="F6" t="s">
        <v>58</v>
      </c>
      <c r="G6" s="1">
        <v>45554.47215277778</v>
      </c>
      <c r="H6">
        <v>4</v>
      </c>
      <c r="I6" t="s">
        <v>59</v>
      </c>
      <c r="J6" t="s">
        <v>350</v>
      </c>
      <c r="K6">
        <v>3</v>
      </c>
    </row>
    <row r="7" spans="2:22" x14ac:dyDescent="0.25">
      <c r="B7">
        <v>20</v>
      </c>
      <c r="C7" t="s">
        <v>82</v>
      </c>
      <c r="D7" t="s">
        <v>41</v>
      </c>
      <c r="E7" t="s">
        <v>83</v>
      </c>
      <c r="F7" t="s">
        <v>58</v>
      </c>
      <c r="G7" s="1">
        <v>45554.47215277778</v>
      </c>
      <c r="H7">
        <v>1</v>
      </c>
      <c r="I7" t="s">
        <v>351</v>
      </c>
      <c r="J7" t="s">
        <v>84</v>
      </c>
      <c r="K7">
        <v>1</v>
      </c>
    </row>
    <row r="8" spans="2:22" x14ac:dyDescent="0.25">
      <c r="B8">
        <v>21</v>
      </c>
      <c r="C8" t="s">
        <v>85</v>
      </c>
      <c r="D8" t="s">
        <v>44</v>
      </c>
      <c r="E8" t="s">
        <v>83</v>
      </c>
      <c r="F8" t="s">
        <v>58</v>
      </c>
      <c r="G8" s="1">
        <v>45554.47215277778</v>
      </c>
      <c r="H8">
        <v>2</v>
      </c>
      <c r="I8" t="s">
        <v>351</v>
      </c>
      <c r="J8" t="s">
        <v>84</v>
      </c>
      <c r="K8">
        <v>1</v>
      </c>
      <c r="P8" t="s">
        <v>22</v>
      </c>
      <c r="Q8" t="s">
        <v>126</v>
      </c>
      <c r="S8" t="s">
        <v>22</v>
      </c>
      <c r="T8" t="s">
        <v>126</v>
      </c>
      <c r="U8" t="s">
        <v>55</v>
      </c>
      <c r="V8" t="s">
        <v>347</v>
      </c>
    </row>
    <row r="9" spans="2:22" x14ac:dyDescent="0.25">
      <c r="B9">
        <v>23</v>
      </c>
      <c r="C9" t="s">
        <v>94</v>
      </c>
      <c r="D9" t="s">
        <v>95</v>
      </c>
      <c r="E9" t="s">
        <v>96</v>
      </c>
      <c r="F9" t="s">
        <v>58</v>
      </c>
      <c r="G9" s="1">
        <v>45554.47215277778</v>
      </c>
      <c r="H9">
        <v>1</v>
      </c>
      <c r="I9" t="s">
        <v>96</v>
      </c>
      <c r="J9" t="s">
        <v>84</v>
      </c>
      <c r="K9">
        <v>1</v>
      </c>
      <c r="P9">
        <v>1</v>
      </c>
      <c r="Q9" t="s">
        <v>356</v>
      </c>
      <c r="S9">
        <v>1</v>
      </c>
      <c r="T9" t="s">
        <v>81</v>
      </c>
      <c r="U9" t="s">
        <v>59</v>
      </c>
      <c r="V9" t="s">
        <v>350</v>
      </c>
    </row>
    <row r="10" spans="2:22" x14ac:dyDescent="0.25">
      <c r="B10">
        <v>24</v>
      </c>
      <c r="C10" t="s">
        <v>97</v>
      </c>
      <c r="D10" t="s">
        <v>98</v>
      </c>
      <c r="E10" t="s">
        <v>96</v>
      </c>
      <c r="F10" t="s">
        <v>58</v>
      </c>
      <c r="G10" s="1">
        <v>45554.47215277778</v>
      </c>
      <c r="H10">
        <v>2</v>
      </c>
      <c r="I10" t="s">
        <v>96</v>
      </c>
      <c r="J10" t="s">
        <v>84</v>
      </c>
      <c r="K10">
        <v>1</v>
      </c>
      <c r="P10">
        <v>2</v>
      </c>
      <c r="Q10" t="s">
        <v>357</v>
      </c>
      <c r="S10">
        <v>2</v>
      </c>
      <c r="T10" t="s">
        <v>66</v>
      </c>
      <c r="U10" t="s">
        <v>59</v>
      </c>
      <c r="V10" t="s">
        <v>350</v>
      </c>
    </row>
    <row r="11" spans="2:22" x14ac:dyDescent="0.25">
      <c r="B11">
        <v>36</v>
      </c>
      <c r="C11" t="s">
        <v>87</v>
      </c>
      <c r="D11" t="s">
        <v>88</v>
      </c>
      <c r="E11" t="s">
        <v>89</v>
      </c>
      <c r="F11" t="s">
        <v>58</v>
      </c>
      <c r="G11" s="1">
        <v>45554.47215277778</v>
      </c>
      <c r="H11">
        <v>1</v>
      </c>
      <c r="I11" t="s">
        <v>89</v>
      </c>
      <c r="J11" t="s">
        <v>84</v>
      </c>
      <c r="K11">
        <v>1</v>
      </c>
      <c r="S11">
        <v>3</v>
      </c>
      <c r="T11" t="s">
        <v>64</v>
      </c>
      <c r="U11" t="s">
        <v>59</v>
      </c>
      <c r="V11" t="s">
        <v>350</v>
      </c>
    </row>
    <row r="12" spans="2:22" x14ac:dyDescent="0.25">
      <c r="B12">
        <v>37</v>
      </c>
      <c r="C12" t="s">
        <v>90</v>
      </c>
      <c r="D12" t="s">
        <v>91</v>
      </c>
      <c r="E12" t="s">
        <v>89</v>
      </c>
      <c r="F12" t="s">
        <v>58</v>
      </c>
      <c r="G12" s="1">
        <v>45554.47215277778</v>
      </c>
      <c r="H12">
        <v>2</v>
      </c>
      <c r="I12" t="s">
        <v>89</v>
      </c>
      <c r="J12" t="s">
        <v>84</v>
      </c>
      <c r="K12">
        <v>1</v>
      </c>
      <c r="S12">
        <v>4</v>
      </c>
      <c r="T12" t="s">
        <v>120</v>
      </c>
      <c r="U12" t="s">
        <v>101</v>
      </c>
      <c r="V12" t="s">
        <v>350</v>
      </c>
    </row>
    <row r="13" spans="2:22" x14ac:dyDescent="0.25">
      <c r="B13">
        <v>38</v>
      </c>
      <c r="C13" t="s">
        <v>92</v>
      </c>
      <c r="D13" t="s">
        <v>93</v>
      </c>
      <c r="E13" t="s">
        <v>89</v>
      </c>
      <c r="F13" t="s">
        <v>58</v>
      </c>
      <c r="G13" s="1">
        <v>45554.47215277778</v>
      </c>
      <c r="H13">
        <v>3</v>
      </c>
      <c r="I13" t="s">
        <v>89</v>
      </c>
      <c r="J13" t="s">
        <v>84</v>
      </c>
      <c r="K13">
        <v>1</v>
      </c>
      <c r="S13">
        <v>5</v>
      </c>
      <c r="T13" t="s">
        <v>117</v>
      </c>
      <c r="U13" t="s">
        <v>101</v>
      </c>
      <c r="V13" t="s">
        <v>350</v>
      </c>
    </row>
    <row r="14" spans="2:22" x14ac:dyDescent="0.25">
      <c r="B14">
        <v>22</v>
      </c>
      <c r="C14" t="s">
        <v>86</v>
      </c>
      <c r="D14" t="s">
        <v>86</v>
      </c>
      <c r="E14" t="s">
        <v>352</v>
      </c>
      <c r="F14" t="s">
        <v>58</v>
      </c>
      <c r="G14" s="1">
        <v>45554.47215277778</v>
      </c>
      <c r="H14">
        <v>1</v>
      </c>
      <c r="I14" t="s">
        <v>352</v>
      </c>
      <c r="J14" t="s">
        <v>84</v>
      </c>
      <c r="K14">
        <v>1</v>
      </c>
      <c r="S14">
        <v>6</v>
      </c>
      <c r="T14" t="s">
        <v>57</v>
      </c>
      <c r="U14" t="s">
        <v>59</v>
      </c>
      <c r="V14" t="s">
        <v>350</v>
      </c>
    </row>
    <row r="15" spans="2:22" x14ac:dyDescent="0.25">
      <c r="B15">
        <v>25</v>
      </c>
      <c r="C15" t="s">
        <v>99</v>
      </c>
      <c r="D15" t="s">
        <v>99</v>
      </c>
      <c r="E15" t="s">
        <v>100</v>
      </c>
      <c r="F15" t="s">
        <v>58</v>
      </c>
      <c r="G15" s="1">
        <v>45554.47215277778</v>
      </c>
      <c r="H15">
        <v>1</v>
      </c>
      <c r="I15" t="s">
        <v>101</v>
      </c>
      <c r="J15" t="s">
        <v>350</v>
      </c>
      <c r="K15">
        <v>2</v>
      </c>
      <c r="S15">
        <v>7</v>
      </c>
      <c r="T15" t="s">
        <v>76</v>
      </c>
      <c r="U15" t="s">
        <v>59</v>
      </c>
      <c r="V15" t="s">
        <v>350</v>
      </c>
    </row>
    <row r="16" spans="2:22" x14ac:dyDescent="0.25">
      <c r="B16">
        <v>26</v>
      </c>
      <c r="C16" t="s">
        <v>102</v>
      </c>
      <c r="D16" t="s">
        <v>102</v>
      </c>
      <c r="E16" t="s">
        <v>100</v>
      </c>
      <c r="F16" t="s">
        <v>58</v>
      </c>
      <c r="G16" s="1">
        <v>45554.47215277778</v>
      </c>
      <c r="H16">
        <v>2</v>
      </c>
      <c r="I16" t="s">
        <v>101</v>
      </c>
      <c r="J16" t="s">
        <v>350</v>
      </c>
      <c r="K16">
        <v>2</v>
      </c>
      <c r="S16">
        <v>8</v>
      </c>
      <c r="T16" t="s">
        <v>89</v>
      </c>
      <c r="U16" t="s">
        <v>89</v>
      </c>
      <c r="V16" t="s">
        <v>84</v>
      </c>
    </row>
    <row r="17" spans="2:22" x14ac:dyDescent="0.25">
      <c r="B17">
        <v>27</v>
      </c>
      <c r="C17" t="s">
        <v>103</v>
      </c>
      <c r="D17" t="s">
        <v>103</v>
      </c>
      <c r="E17" t="s">
        <v>100</v>
      </c>
      <c r="F17" t="s">
        <v>58</v>
      </c>
      <c r="G17" s="1">
        <v>45554.47215277778</v>
      </c>
      <c r="H17">
        <v>3</v>
      </c>
      <c r="I17" t="s">
        <v>101</v>
      </c>
      <c r="J17" t="s">
        <v>350</v>
      </c>
      <c r="K17">
        <v>2</v>
      </c>
      <c r="S17">
        <v>9</v>
      </c>
      <c r="T17" t="s">
        <v>111</v>
      </c>
      <c r="U17" t="s">
        <v>101</v>
      </c>
      <c r="V17" t="s">
        <v>350</v>
      </c>
    </row>
    <row r="18" spans="2:22" x14ac:dyDescent="0.25">
      <c r="B18">
        <v>28</v>
      </c>
      <c r="C18" t="s">
        <v>104</v>
      </c>
      <c r="D18" t="s">
        <v>104</v>
      </c>
      <c r="E18" t="s">
        <v>100</v>
      </c>
      <c r="F18" t="s">
        <v>58</v>
      </c>
      <c r="G18" s="1">
        <v>45554.47215277778</v>
      </c>
      <c r="H18">
        <v>4</v>
      </c>
      <c r="I18" t="s">
        <v>101</v>
      </c>
      <c r="J18" t="s">
        <v>350</v>
      </c>
      <c r="K18">
        <v>2</v>
      </c>
      <c r="S18">
        <v>10</v>
      </c>
      <c r="T18" t="s">
        <v>352</v>
      </c>
      <c r="U18" t="s">
        <v>352</v>
      </c>
      <c r="V18" t="s">
        <v>84</v>
      </c>
    </row>
    <row r="19" spans="2:22" x14ac:dyDescent="0.25">
      <c r="B19">
        <v>29</v>
      </c>
      <c r="C19" t="s">
        <v>105</v>
      </c>
      <c r="D19" t="s">
        <v>105</v>
      </c>
      <c r="E19" t="s">
        <v>100</v>
      </c>
      <c r="F19" t="s">
        <v>58</v>
      </c>
      <c r="G19" s="1">
        <v>45554.47215277778</v>
      </c>
      <c r="H19">
        <v>5</v>
      </c>
      <c r="I19" t="s">
        <v>101</v>
      </c>
      <c r="J19" t="s">
        <v>350</v>
      </c>
      <c r="K19">
        <v>2</v>
      </c>
      <c r="S19">
        <v>11</v>
      </c>
      <c r="T19" t="s">
        <v>96</v>
      </c>
      <c r="U19" t="s">
        <v>96</v>
      </c>
      <c r="V19" t="s">
        <v>84</v>
      </c>
    </row>
    <row r="20" spans="2:22" x14ac:dyDescent="0.25">
      <c r="B20">
        <v>30</v>
      </c>
      <c r="C20" t="s">
        <v>46</v>
      </c>
      <c r="D20" t="s">
        <v>46</v>
      </c>
      <c r="E20" t="s">
        <v>100</v>
      </c>
      <c r="F20" t="s">
        <v>58</v>
      </c>
      <c r="G20" s="1">
        <v>45554.47215277778</v>
      </c>
      <c r="H20">
        <v>6</v>
      </c>
      <c r="I20" t="s">
        <v>101</v>
      </c>
      <c r="J20" t="s">
        <v>350</v>
      </c>
      <c r="K20">
        <v>2</v>
      </c>
      <c r="S20">
        <v>12</v>
      </c>
      <c r="T20" t="s">
        <v>100</v>
      </c>
      <c r="U20" t="s">
        <v>101</v>
      </c>
      <c r="V20" t="s">
        <v>350</v>
      </c>
    </row>
    <row r="21" spans="2:22" x14ac:dyDescent="0.25">
      <c r="B21">
        <v>31</v>
      </c>
      <c r="C21" t="s">
        <v>106</v>
      </c>
      <c r="D21" t="s">
        <v>106</v>
      </c>
      <c r="E21" t="s">
        <v>100</v>
      </c>
      <c r="F21" t="s">
        <v>58</v>
      </c>
      <c r="G21" s="1">
        <v>45554.47215277778</v>
      </c>
      <c r="H21">
        <v>7</v>
      </c>
      <c r="I21" t="s">
        <v>101</v>
      </c>
      <c r="J21" t="s">
        <v>350</v>
      </c>
      <c r="K21">
        <v>2</v>
      </c>
      <c r="S21">
        <v>13</v>
      </c>
      <c r="T21" t="s">
        <v>83</v>
      </c>
      <c r="U21" t="s">
        <v>351</v>
      </c>
      <c r="V21" t="s">
        <v>84</v>
      </c>
    </row>
    <row r="22" spans="2:22" x14ac:dyDescent="0.25">
      <c r="B22">
        <v>32</v>
      </c>
      <c r="C22" t="s">
        <v>107</v>
      </c>
      <c r="D22" t="s">
        <v>107</v>
      </c>
      <c r="E22" t="s">
        <v>100</v>
      </c>
      <c r="F22" t="s">
        <v>58</v>
      </c>
      <c r="G22" s="1">
        <v>45554.47215277778</v>
      </c>
      <c r="H22">
        <v>8</v>
      </c>
      <c r="I22" t="s">
        <v>101</v>
      </c>
      <c r="J22" t="s">
        <v>350</v>
      </c>
      <c r="K22">
        <v>2</v>
      </c>
    </row>
    <row r="23" spans="2:22" x14ac:dyDescent="0.25">
      <c r="B23">
        <v>33</v>
      </c>
      <c r="C23" t="s">
        <v>108</v>
      </c>
      <c r="D23" t="s">
        <v>108</v>
      </c>
      <c r="E23" t="s">
        <v>100</v>
      </c>
      <c r="F23" t="s">
        <v>58</v>
      </c>
      <c r="G23" s="1">
        <v>45554.47215277778</v>
      </c>
      <c r="H23">
        <v>9</v>
      </c>
      <c r="I23" t="s">
        <v>101</v>
      </c>
      <c r="J23" t="s">
        <v>350</v>
      </c>
      <c r="K23">
        <v>2</v>
      </c>
    </row>
    <row r="24" spans="2:22" x14ac:dyDescent="0.25">
      <c r="B24">
        <v>34</v>
      </c>
      <c r="C24" t="s">
        <v>109</v>
      </c>
      <c r="D24" t="s">
        <v>109</v>
      </c>
      <c r="E24" t="s">
        <v>100</v>
      </c>
      <c r="F24" t="s">
        <v>58</v>
      </c>
      <c r="G24" s="1">
        <v>45554.47215277778</v>
      </c>
      <c r="H24">
        <v>10</v>
      </c>
      <c r="I24" t="s">
        <v>101</v>
      </c>
      <c r="J24" t="s">
        <v>350</v>
      </c>
      <c r="K24">
        <v>2</v>
      </c>
    </row>
    <row r="25" spans="2:22" x14ac:dyDescent="0.25">
      <c r="B25">
        <v>35</v>
      </c>
      <c r="C25" t="s">
        <v>110</v>
      </c>
      <c r="D25" t="s">
        <v>110</v>
      </c>
      <c r="E25" t="s">
        <v>111</v>
      </c>
      <c r="F25" t="s">
        <v>58</v>
      </c>
      <c r="G25" s="1">
        <v>45554.47215277778</v>
      </c>
      <c r="H25">
        <v>1</v>
      </c>
      <c r="I25" t="s">
        <v>101</v>
      </c>
      <c r="J25" t="s">
        <v>350</v>
      </c>
      <c r="K25">
        <v>2</v>
      </c>
    </row>
    <row r="26" spans="2:22" x14ac:dyDescent="0.25">
      <c r="B26">
        <v>39</v>
      </c>
      <c r="C26" t="s">
        <v>112</v>
      </c>
      <c r="D26" t="s">
        <v>112</v>
      </c>
      <c r="E26" t="s">
        <v>111</v>
      </c>
      <c r="F26" t="s">
        <v>58</v>
      </c>
      <c r="G26" s="1">
        <v>45554.47215277778</v>
      </c>
      <c r="H26">
        <v>2</v>
      </c>
      <c r="I26" t="s">
        <v>101</v>
      </c>
      <c r="J26" t="s">
        <v>350</v>
      </c>
      <c r="K26">
        <v>2</v>
      </c>
    </row>
    <row r="27" spans="2:22" x14ac:dyDescent="0.25">
      <c r="B27">
        <v>40</v>
      </c>
      <c r="C27" t="s">
        <v>113</v>
      </c>
      <c r="D27" t="s">
        <v>113</v>
      </c>
      <c r="E27" t="s">
        <v>111</v>
      </c>
      <c r="F27" t="s">
        <v>58</v>
      </c>
      <c r="G27" s="1">
        <v>45554.47215277778</v>
      </c>
      <c r="H27">
        <v>3</v>
      </c>
      <c r="I27" t="s">
        <v>101</v>
      </c>
      <c r="J27" t="s">
        <v>350</v>
      </c>
      <c r="K27">
        <v>2</v>
      </c>
    </row>
    <row r="28" spans="2:22" x14ac:dyDescent="0.25">
      <c r="B28">
        <v>41</v>
      </c>
      <c r="C28" t="s">
        <v>114</v>
      </c>
      <c r="D28" t="s">
        <v>114</v>
      </c>
      <c r="E28" t="s">
        <v>111</v>
      </c>
      <c r="F28" t="s">
        <v>58</v>
      </c>
      <c r="G28" s="1">
        <v>45554.47215277778</v>
      </c>
      <c r="H28">
        <v>4</v>
      </c>
      <c r="I28" t="s">
        <v>101</v>
      </c>
      <c r="J28" t="s">
        <v>350</v>
      </c>
      <c r="K28">
        <v>2</v>
      </c>
    </row>
    <row r="29" spans="2:22" x14ac:dyDescent="0.25">
      <c r="B29">
        <v>42</v>
      </c>
      <c r="C29" t="s">
        <v>115</v>
      </c>
      <c r="D29" t="s">
        <v>115</v>
      </c>
      <c r="E29" t="s">
        <v>111</v>
      </c>
      <c r="F29" t="s">
        <v>58</v>
      </c>
      <c r="G29" s="1">
        <v>45554.47215277778</v>
      </c>
      <c r="H29">
        <v>5</v>
      </c>
      <c r="I29" t="s">
        <v>101</v>
      </c>
      <c r="J29" t="s">
        <v>350</v>
      </c>
      <c r="K29">
        <v>2</v>
      </c>
    </row>
    <row r="30" spans="2:22" x14ac:dyDescent="0.25">
      <c r="B30">
        <v>43</v>
      </c>
      <c r="C30" t="s">
        <v>116</v>
      </c>
      <c r="D30" t="s">
        <v>116</v>
      </c>
      <c r="E30" t="s">
        <v>117</v>
      </c>
      <c r="F30" t="s">
        <v>58</v>
      </c>
      <c r="G30" s="1">
        <v>45554.47215277778</v>
      </c>
      <c r="H30">
        <v>1</v>
      </c>
      <c r="I30" t="s">
        <v>101</v>
      </c>
      <c r="J30" t="s">
        <v>350</v>
      </c>
      <c r="K30">
        <v>2</v>
      </c>
    </row>
    <row r="31" spans="2:22" x14ac:dyDescent="0.25">
      <c r="B31">
        <v>44</v>
      </c>
      <c r="C31" t="s">
        <v>118</v>
      </c>
      <c r="D31" t="s">
        <v>118</v>
      </c>
      <c r="E31" t="s">
        <v>117</v>
      </c>
      <c r="F31" t="s">
        <v>58</v>
      </c>
      <c r="G31" s="1">
        <v>45554.47215277778</v>
      </c>
      <c r="H31">
        <v>2</v>
      </c>
      <c r="I31" t="s">
        <v>101</v>
      </c>
      <c r="J31" t="s">
        <v>350</v>
      </c>
      <c r="K31">
        <v>2</v>
      </c>
    </row>
    <row r="32" spans="2:22" x14ac:dyDescent="0.25">
      <c r="B32">
        <v>45</v>
      </c>
      <c r="C32" t="s">
        <v>119</v>
      </c>
      <c r="D32" t="s">
        <v>119</v>
      </c>
      <c r="E32" t="s">
        <v>120</v>
      </c>
      <c r="F32" t="s">
        <v>58</v>
      </c>
      <c r="G32" s="1">
        <v>45554.47215277778</v>
      </c>
      <c r="H32">
        <v>1</v>
      </c>
      <c r="I32" t="s">
        <v>101</v>
      </c>
      <c r="J32" t="s">
        <v>350</v>
      </c>
      <c r="K32">
        <v>2</v>
      </c>
    </row>
    <row r="33" spans="2:11" x14ac:dyDescent="0.25">
      <c r="B33">
        <v>46</v>
      </c>
      <c r="C33" t="s">
        <v>121</v>
      </c>
      <c r="D33" t="s">
        <v>121</v>
      </c>
      <c r="E33" t="s">
        <v>120</v>
      </c>
      <c r="F33" t="s">
        <v>58</v>
      </c>
      <c r="G33" s="1">
        <v>45554.47215277778</v>
      </c>
      <c r="H33">
        <v>2</v>
      </c>
      <c r="I33" t="s">
        <v>101</v>
      </c>
      <c r="J33" t="s">
        <v>350</v>
      </c>
      <c r="K33">
        <v>2</v>
      </c>
    </row>
    <row r="34" spans="2:11" x14ac:dyDescent="0.25">
      <c r="B34">
        <v>47</v>
      </c>
      <c r="C34" t="s">
        <v>122</v>
      </c>
      <c r="D34" t="s">
        <v>122</v>
      </c>
      <c r="E34" t="s">
        <v>120</v>
      </c>
      <c r="F34" t="s">
        <v>58</v>
      </c>
      <c r="G34" s="1">
        <v>45554.47215277778</v>
      </c>
      <c r="H34">
        <v>3</v>
      </c>
      <c r="I34" t="s">
        <v>101</v>
      </c>
      <c r="J34" t="s">
        <v>350</v>
      </c>
      <c r="K34">
        <v>2</v>
      </c>
    </row>
    <row r="35" spans="2:11" x14ac:dyDescent="0.25">
      <c r="B35">
        <v>48</v>
      </c>
      <c r="C35" t="s">
        <v>123</v>
      </c>
      <c r="D35" t="s">
        <v>123</v>
      </c>
      <c r="E35" t="s">
        <v>120</v>
      </c>
      <c r="F35" t="s">
        <v>58</v>
      </c>
      <c r="G35" s="1">
        <v>45554.47215277778</v>
      </c>
      <c r="H35">
        <v>4</v>
      </c>
      <c r="I35" t="s">
        <v>101</v>
      </c>
      <c r="J35" t="s">
        <v>350</v>
      </c>
      <c r="K35">
        <v>2</v>
      </c>
    </row>
    <row r="36" spans="2:11" x14ac:dyDescent="0.25">
      <c r="B36">
        <v>49</v>
      </c>
      <c r="C36" t="s">
        <v>124</v>
      </c>
      <c r="D36" t="s">
        <v>124</v>
      </c>
      <c r="E36" t="s">
        <v>120</v>
      </c>
      <c r="F36" t="s">
        <v>58</v>
      </c>
      <c r="G36" s="1">
        <v>45554.47215277778</v>
      </c>
      <c r="H36">
        <v>5</v>
      </c>
      <c r="I36" t="s">
        <v>101</v>
      </c>
      <c r="J36" t="s">
        <v>350</v>
      </c>
      <c r="K36">
        <v>2</v>
      </c>
    </row>
    <row r="37" spans="2:11" x14ac:dyDescent="0.25">
      <c r="B37">
        <v>50</v>
      </c>
      <c r="C37" t="s">
        <v>125</v>
      </c>
      <c r="D37" t="s">
        <v>125</v>
      </c>
      <c r="E37" t="s">
        <v>120</v>
      </c>
      <c r="F37" t="s">
        <v>58</v>
      </c>
      <c r="G37" s="1">
        <v>45554.47215277778</v>
      </c>
      <c r="H37">
        <v>6</v>
      </c>
      <c r="I37" t="s">
        <v>101</v>
      </c>
      <c r="J37" t="s">
        <v>350</v>
      </c>
      <c r="K37">
        <v>2</v>
      </c>
    </row>
    <row r="38" spans="2:11" x14ac:dyDescent="0.25">
      <c r="B38">
        <v>55</v>
      </c>
      <c r="C38" t="s">
        <v>62</v>
      </c>
      <c r="D38" t="s">
        <v>62</v>
      </c>
      <c r="E38" t="s">
        <v>57</v>
      </c>
      <c r="F38" t="s">
        <v>58</v>
      </c>
      <c r="G38" s="1">
        <v>45554.47216435185</v>
      </c>
      <c r="H38">
        <v>5</v>
      </c>
      <c r="I38" t="s">
        <v>59</v>
      </c>
      <c r="J38" t="s">
        <v>350</v>
      </c>
      <c r="K38">
        <v>3</v>
      </c>
    </row>
    <row r="39" spans="2:11" x14ac:dyDescent="0.25">
      <c r="B39">
        <v>56</v>
      </c>
      <c r="C39" t="s">
        <v>63</v>
      </c>
      <c r="D39" t="s">
        <v>63</v>
      </c>
      <c r="E39" t="s">
        <v>64</v>
      </c>
      <c r="F39" t="s">
        <v>58</v>
      </c>
      <c r="G39" s="1">
        <v>45554.47216435185</v>
      </c>
      <c r="H39">
        <v>1</v>
      </c>
      <c r="I39" t="s">
        <v>59</v>
      </c>
      <c r="J39" t="s">
        <v>350</v>
      </c>
      <c r="K39">
        <v>3</v>
      </c>
    </row>
    <row r="40" spans="2:11" x14ac:dyDescent="0.25">
      <c r="B40">
        <v>57</v>
      </c>
      <c r="C40" t="s">
        <v>65</v>
      </c>
      <c r="D40" t="s">
        <v>65</v>
      </c>
      <c r="E40" t="s">
        <v>66</v>
      </c>
      <c r="F40" t="s">
        <v>58</v>
      </c>
      <c r="G40" s="1">
        <v>45554.47216435185</v>
      </c>
      <c r="H40">
        <v>1</v>
      </c>
      <c r="I40" t="s">
        <v>59</v>
      </c>
      <c r="J40" t="s">
        <v>350</v>
      </c>
      <c r="K40">
        <v>3</v>
      </c>
    </row>
    <row r="41" spans="2:11" x14ac:dyDescent="0.25">
      <c r="B41">
        <v>58</v>
      </c>
      <c r="C41" t="s">
        <v>67</v>
      </c>
      <c r="D41" t="s">
        <v>67</v>
      </c>
      <c r="E41" t="s">
        <v>66</v>
      </c>
      <c r="F41" t="s">
        <v>58</v>
      </c>
      <c r="G41" s="1">
        <v>45554.47216435185</v>
      </c>
      <c r="H41">
        <v>2</v>
      </c>
      <c r="I41" t="s">
        <v>59</v>
      </c>
      <c r="J41" t="s">
        <v>350</v>
      </c>
      <c r="K41">
        <v>3</v>
      </c>
    </row>
    <row r="42" spans="2:11" x14ac:dyDescent="0.25">
      <c r="B42">
        <v>59</v>
      </c>
      <c r="C42" t="s">
        <v>68</v>
      </c>
      <c r="D42" t="s">
        <v>68</v>
      </c>
      <c r="E42" t="s">
        <v>66</v>
      </c>
      <c r="F42" t="s">
        <v>58</v>
      </c>
      <c r="G42" s="1">
        <v>45554.47216435185</v>
      </c>
      <c r="H42">
        <v>3</v>
      </c>
      <c r="I42" t="s">
        <v>59</v>
      </c>
      <c r="J42" t="s">
        <v>350</v>
      </c>
      <c r="K42">
        <v>3</v>
      </c>
    </row>
    <row r="43" spans="2:11" x14ac:dyDescent="0.25">
      <c r="B43">
        <v>60</v>
      </c>
      <c r="C43" t="s">
        <v>69</v>
      </c>
      <c r="D43" t="s">
        <v>69</v>
      </c>
      <c r="E43" t="s">
        <v>66</v>
      </c>
      <c r="F43" t="s">
        <v>58</v>
      </c>
      <c r="G43" s="1">
        <v>45554.47216435185</v>
      </c>
      <c r="H43">
        <v>4</v>
      </c>
      <c r="I43" t="s">
        <v>59</v>
      </c>
      <c r="J43" t="s">
        <v>350</v>
      </c>
      <c r="K43">
        <v>3</v>
      </c>
    </row>
    <row r="44" spans="2:11" x14ac:dyDescent="0.25">
      <c r="B44">
        <v>61</v>
      </c>
      <c r="C44" t="s">
        <v>70</v>
      </c>
      <c r="D44" t="s">
        <v>70</v>
      </c>
      <c r="E44" t="s">
        <v>66</v>
      </c>
      <c r="F44" t="s">
        <v>58</v>
      </c>
      <c r="G44" s="1">
        <v>45554.47216435185</v>
      </c>
      <c r="H44">
        <v>5</v>
      </c>
      <c r="I44" t="s">
        <v>59</v>
      </c>
      <c r="J44" t="s">
        <v>350</v>
      </c>
      <c r="K44">
        <v>3</v>
      </c>
    </row>
    <row r="45" spans="2:11" x14ac:dyDescent="0.25">
      <c r="B45">
        <v>62</v>
      </c>
      <c r="C45" t="s">
        <v>71</v>
      </c>
      <c r="D45" t="s">
        <v>71</v>
      </c>
      <c r="E45" t="s">
        <v>66</v>
      </c>
      <c r="F45" t="s">
        <v>58</v>
      </c>
      <c r="G45" s="1">
        <v>45554.47216435185</v>
      </c>
      <c r="H45">
        <v>6</v>
      </c>
      <c r="I45" t="s">
        <v>59</v>
      </c>
      <c r="J45" t="s">
        <v>350</v>
      </c>
      <c r="K45">
        <v>3</v>
      </c>
    </row>
    <row r="46" spans="2:11" x14ac:dyDescent="0.25">
      <c r="B46">
        <v>63</v>
      </c>
      <c r="C46" t="s">
        <v>72</v>
      </c>
      <c r="D46" t="s">
        <v>72</v>
      </c>
      <c r="E46" t="s">
        <v>66</v>
      </c>
      <c r="F46" t="s">
        <v>58</v>
      </c>
      <c r="G46" s="1">
        <v>45554.47216435185</v>
      </c>
      <c r="H46">
        <v>7</v>
      </c>
      <c r="I46" t="s">
        <v>59</v>
      </c>
      <c r="J46" t="s">
        <v>350</v>
      </c>
      <c r="K46">
        <v>3</v>
      </c>
    </row>
    <row r="47" spans="2:11" x14ac:dyDescent="0.25">
      <c r="B47">
        <v>64</v>
      </c>
      <c r="C47" t="s">
        <v>73</v>
      </c>
      <c r="D47" t="s">
        <v>73</v>
      </c>
      <c r="E47" t="s">
        <v>66</v>
      </c>
      <c r="F47" t="s">
        <v>58</v>
      </c>
      <c r="G47" s="1">
        <v>45554.47216435185</v>
      </c>
      <c r="H47">
        <v>8</v>
      </c>
      <c r="I47" t="s">
        <v>59</v>
      </c>
      <c r="J47" t="s">
        <v>350</v>
      </c>
      <c r="K47">
        <v>3</v>
      </c>
    </row>
    <row r="48" spans="2:11" x14ac:dyDescent="0.25">
      <c r="B48">
        <v>65</v>
      </c>
      <c r="C48" t="s">
        <v>74</v>
      </c>
      <c r="D48" t="s">
        <v>74</v>
      </c>
      <c r="E48" t="s">
        <v>66</v>
      </c>
      <c r="F48" t="s">
        <v>58</v>
      </c>
      <c r="G48" s="1">
        <v>45554.47216435185</v>
      </c>
      <c r="H48">
        <v>9</v>
      </c>
      <c r="I48" t="s">
        <v>59</v>
      </c>
      <c r="J48" t="s">
        <v>350</v>
      </c>
      <c r="K48">
        <v>3</v>
      </c>
    </row>
    <row r="49" spans="2:11" x14ac:dyDescent="0.25">
      <c r="B49">
        <v>66</v>
      </c>
      <c r="C49" t="s">
        <v>75</v>
      </c>
      <c r="D49" t="s">
        <v>75</v>
      </c>
      <c r="E49" t="s">
        <v>76</v>
      </c>
      <c r="F49" t="s">
        <v>58</v>
      </c>
      <c r="G49" s="1">
        <v>45554.47216435185</v>
      </c>
      <c r="H49">
        <v>1</v>
      </c>
      <c r="I49" t="s">
        <v>59</v>
      </c>
      <c r="J49" t="s">
        <v>350</v>
      </c>
      <c r="K49">
        <v>3</v>
      </c>
    </row>
    <row r="50" spans="2:11" x14ac:dyDescent="0.25">
      <c r="B50">
        <v>67</v>
      </c>
      <c r="C50" t="s">
        <v>77</v>
      </c>
      <c r="D50" t="s">
        <v>77</v>
      </c>
      <c r="E50" t="s">
        <v>76</v>
      </c>
      <c r="F50" t="s">
        <v>58</v>
      </c>
      <c r="G50" s="1">
        <v>45554.47216435185</v>
      </c>
      <c r="H50">
        <v>2</v>
      </c>
      <c r="I50" t="s">
        <v>59</v>
      </c>
      <c r="J50" t="s">
        <v>350</v>
      </c>
      <c r="K50">
        <v>3</v>
      </c>
    </row>
    <row r="51" spans="2:11" x14ac:dyDescent="0.25">
      <c r="B51">
        <v>68</v>
      </c>
      <c r="C51" t="s">
        <v>78</v>
      </c>
      <c r="D51" t="s">
        <v>78</v>
      </c>
      <c r="E51" t="s">
        <v>76</v>
      </c>
      <c r="F51" t="s">
        <v>58</v>
      </c>
      <c r="G51" s="1">
        <v>45554.47216435185</v>
      </c>
      <c r="H51">
        <v>3</v>
      </c>
      <c r="I51" t="s">
        <v>59</v>
      </c>
      <c r="J51" t="s">
        <v>350</v>
      </c>
      <c r="K51">
        <v>3</v>
      </c>
    </row>
    <row r="52" spans="2:11" x14ac:dyDescent="0.25">
      <c r="B52">
        <v>69</v>
      </c>
      <c r="C52" t="s">
        <v>79</v>
      </c>
      <c r="D52" t="s">
        <v>79</v>
      </c>
      <c r="E52" t="s">
        <v>76</v>
      </c>
      <c r="F52" t="s">
        <v>58</v>
      </c>
      <c r="G52" s="1">
        <v>45554.47216435185</v>
      </c>
      <c r="H52">
        <v>4</v>
      </c>
      <c r="I52" t="s">
        <v>59</v>
      </c>
      <c r="J52" t="s">
        <v>350</v>
      </c>
      <c r="K52">
        <v>3</v>
      </c>
    </row>
    <row r="53" spans="2:11" x14ac:dyDescent="0.25">
      <c r="B53">
        <v>70</v>
      </c>
      <c r="C53" t="s">
        <v>80</v>
      </c>
      <c r="D53" t="s">
        <v>80</v>
      </c>
      <c r="E53" t="s">
        <v>81</v>
      </c>
      <c r="F53" t="s">
        <v>58</v>
      </c>
      <c r="G53" s="1">
        <v>45554.47216435185</v>
      </c>
      <c r="H53">
        <v>1</v>
      </c>
      <c r="I53" t="s">
        <v>59</v>
      </c>
      <c r="J53" t="s">
        <v>350</v>
      </c>
      <c r="K53">
        <v>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7"/>
  <sheetViews>
    <sheetView workbookViewId="0">
      <selection activeCell="G8" sqref="G8"/>
    </sheetView>
  </sheetViews>
  <sheetFormatPr defaultRowHeight="15" x14ac:dyDescent="0.25"/>
  <cols>
    <col min="1" max="1" width="5" bestFit="1" customWidth="1"/>
    <col min="2" max="2" width="17.140625" bestFit="1" customWidth="1"/>
    <col min="3" max="3" width="13.28515625" bestFit="1" customWidth="1"/>
    <col min="4" max="4" width="12.140625" bestFit="1" customWidth="1"/>
    <col min="5" max="5" width="11.7109375" bestFit="1" customWidth="1"/>
    <col min="6" max="6" width="5" customWidth="1"/>
    <col min="7" max="7" width="19" customWidth="1"/>
    <col min="8" max="8" width="10" customWidth="1"/>
    <col min="9" max="9" width="15.42578125" customWidth="1"/>
  </cols>
  <sheetData>
    <row r="1" spans="1:9" x14ac:dyDescent="0.25">
      <c r="A1" t="s">
        <v>22</v>
      </c>
      <c r="B1" t="s">
        <v>141</v>
      </c>
      <c r="C1" t="s">
        <v>142</v>
      </c>
    </row>
    <row r="2" spans="1:9" x14ac:dyDescent="0.25">
      <c r="A2">
        <v>1</v>
      </c>
      <c r="B2" t="s">
        <v>43</v>
      </c>
      <c r="C2" t="s">
        <v>143</v>
      </c>
    </row>
    <row r="3" spans="1:9" x14ac:dyDescent="0.25">
      <c r="A3">
        <v>2</v>
      </c>
      <c r="B3" t="s">
        <v>144</v>
      </c>
      <c r="C3" t="s">
        <v>143</v>
      </c>
    </row>
    <row r="4" spans="1:9" x14ac:dyDescent="0.25">
      <c r="A4">
        <v>17</v>
      </c>
      <c r="B4" t="s">
        <v>45</v>
      </c>
      <c r="C4" t="s">
        <v>145</v>
      </c>
      <c r="F4" t="s">
        <v>22</v>
      </c>
      <c r="G4" t="s">
        <v>126</v>
      </c>
      <c r="H4" t="s">
        <v>55</v>
      </c>
      <c r="I4" t="s">
        <v>30</v>
      </c>
    </row>
    <row r="5" spans="1:9" x14ac:dyDescent="0.25">
      <c r="A5">
        <v>18</v>
      </c>
      <c r="B5" t="s">
        <v>49</v>
      </c>
      <c r="C5" t="s">
        <v>145</v>
      </c>
      <c r="F5">
        <v>6</v>
      </c>
      <c r="G5" t="s">
        <v>127</v>
      </c>
      <c r="H5" t="s">
        <v>128</v>
      </c>
      <c r="I5" s="1">
        <v>45563.667997685188</v>
      </c>
    </row>
    <row r="6" spans="1:9" x14ac:dyDescent="0.25">
      <c r="A6">
        <v>19</v>
      </c>
      <c r="B6" t="s">
        <v>146</v>
      </c>
      <c r="C6" t="s">
        <v>145</v>
      </c>
      <c r="F6">
        <v>19</v>
      </c>
      <c r="G6" t="s">
        <v>130</v>
      </c>
      <c r="H6" t="s">
        <v>48</v>
      </c>
      <c r="I6" s="1">
        <v>45569.305289351854</v>
      </c>
    </row>
    <row r="7" spans="1:9" x14ac:dyDescent="0.25">
      <c r="A7">
        <v>20</v>
      </c>
      <c r="B7" t="s">
        <v>147</v>
      </c>
      <c r="C7" t="s">
        <v>145</v>
      </c>
      <c r="F7">
        <v>20</v>
      </c>
      <c r="G7" t="s">
        <v>131</v>
      </c>
      <c r="H7" t="s">
        <v>132</v>
      </c>
      <c r="I7" s="1">
        <v>45569.305532407408</v>
      </c>
    </row>
    <row r="8" spans="1:9" x14ac:dyDescent="0.25">
      <c r="A8">
        <v>21</v>
      </c>
      <c r="B8" t="s">
        <v>148</v>
      </c>
      <c r="C8" t="s">
        <v>145</v>
      </c>
      <c r="F8">
        <v>21</v>
      </c>
      <c r="G8" t="s">
        <v>133</v>
      </c>
      <c r="H8" t="s">
        <v>132</v>
      </c>
      <c r="I8" s="1">
        <v>45569.305960648147</v>
      </c>
    </row>
    <row r="9" spans="1:9" x14ac:dyDescent="0.25">
      <c r="A9">
        <v>22</v>
      </c>
      <c r="B9" t="s">
        <v>149</v>
      </c>
      <c r="C9" t="s">
        <v>145</v>
      </c>
      <c r="F9">
        <v>24</v>
      </c>
      <c r="G9" t="s">
        <v>134</v>
      </c>
      <c r="H9" t="s">
        <v>48</v>
      </c>
      <c r="I9" s="1">
        <v>45569.306851851848</v>
      </c>
    </row>
    <row r="10" spans="1:9" x14ac:dyDescent="0.25">
      <c r="A10">
        <v>23</v>
      </c>
      <c r="B10" t="s">
        <v>150</v>
      </c>
      <c r="C10" t="s">
        <v>145</v>
      </c>
      <c r="F10">
        <v>1</v>
      </c>
      <c r="G10" t="s">
        <v>135</v>
      </c>
      <c r="H10" t="s">
        <v>48</v>
      </c>
      <c r="I10" s="1">
        <v>45563.663124999999</v>
      </c>
    </row>
    <row r="11" spans="1:9" x14ac:dyDescent="0.25">
      <c r="A11">
        <v>24</v>
      </c>
      <c r="B11" t="s">
        <v>151</v>
      </c>
      <c r="C11" t="s">
        <v>145</v>
      </c>
      <c r="F11">
        <v>2</v>
      </c>
      <c r="G11" t="s">
        <v>136</v>
      </c>
      <c r="H11" t="s">
        <v>48</v>
      </c>
      <c r="I11" s="1">
        <v>45563.665358796294</v>
      </c>
    </row>
    <row r="12" spans="1:9" x14ac:dyDescent="0.25">
      <c r="A12">
        <v>25</v>
      </c>
      <c r="B12" t="s">
        <v>152</v>
      </c>
      <c r="C12" t="s">
        <v>145</v>
      </c>
      <c r="F12">
        <v>3</v>
      </c>
      <c r="G12" t="s">
        <v>137</v>
      </c>
      <c r="H12" t="s">
        <v>48</v>
      </c>
      <c r="I12" s="1">
        <v>45563.665706018517</v>
      </c>
    </row>
    <row r="13" spans="1:9" x14ac:dyDescent="0.25">
      <c r="A13">
        <v>26</v>
      </c>
      <c r="B13" t="s">
        <v>153</v>
      </c>
      <c r="C13" t="s">
        <v>145</v>
      </c>
      <c r="F13">
        <v>13</v>
      </c>
      <c r="G13" t="s">
        <v>138</v>
      </c>
      <c r="H13" t="s">
        <v>48</v>
      </c>
      <c r="I13" s="1">
        <v>45563.685682870368</v>
      </c>
    </row>
    <row r="14" spans="1:9" x14ac:dyDescent="0.25">
      <c r="A14">
        <v>36</v>
      </c>
      <c r="B14" t="s">
        <v>154</v>
      </c>
      <c r="C14" t="s">
        <v>145</v>
      </c>
      <c r="F14">
        <v>7</v>
      </c>
      <c r="G14" t="s">
        <v>139</v>
      </c>
      <c r="H14" t="s">
        <v>48</v>
      </c>
      <c r="I14" s="1">
        <v>45563.668668981481</v>
      </c>
    </row>
    <row r="15" spans="1:9" x14ac:dyDescent="0.25">
      <c r="A15">
        <v>37</v>
      </c>
      <c r="B15" t="s">
        <v>155</v>
      </c>
      <c r="C15" t="s">
        <v>145</v>
      </c>
      <c r="F15">
        <v>18</v>
      </c>
      <c r="G15" t="s">
        <v>140</v>
      </c>
      <c r="H15" t="s">
        <v>48</v>
      </c>
      <c r="I15" s="1">
        <v>45568.691365740742</v>
      </c>
    </row>
    <row r="16" spans="1:9" x14ac:dyDescent="0.25">
      <c r="A16">
        <v>29</v>
      </c>
      <c r="B16" t="s">
        <v>156</v>
      </c>
      <c r="C16" t="s">
        <v>145</v>
      </c>
      <c r="F16">
        <v>26</v>
      </c>
      <c r="G16" t="s">
        <v>354</v>
      </c>
      <c r="I16" s="1">
        <v>45576.723993055559</v>
      </c>
    </row>
    <row r="17" spans="1:9" x14ac:dyDescent="0.25">
      <c r="A17">
        <v>30</v>
      </c>
      <c r="B17" t="s">
        <v>157</v>
      </c>
      <c r="C17" t="s">
        <v>145</v>
      </c>
      <c r="F17">
        <v>27</v>
      </c>
      <c r="G17" t="s">
        <v>355</v>
      </c>
      <c r="I17" s="1">
        <v>45578.7344212963</v>
      </c>
    </row>
    <row r="18" spans="1:9" x14ac:dyDescent="0.25">
      <c r="A18">
        <v>31</v>
      </c>
      <c r="B18" t="s">
        <v>158</v>
      </c>
      <c r="C18" t="s">
        <v>145</v>
      </c>
      <c r="F18">
        <v>28</v>
      </c>
      <c r="G18" t="s">
        <v>356</v>
      </c>
      <c r="I18" s="1">
        <v>45578.7344212963</v>
      </c>
    </row>
    <row r="19" spans="1:9" x14ac:dyDescent="0.25">
      <c r="A19">
        <v>32</v>
      </c>
      <c r="B19" t="s">
        <v>159</v>
      </c>
      <c r="C19" t="s">
        <v>145</v>
      </c>
    </row>
    <row r="20" spans="1:9" x14ac:dyDescent="0.25">
      <c r="A20">
        <v>33</v>
      </c>
      <c r="B20" t="s">
        <v>160</v>
      </c>
      <c r="C20" t="s">
        <v>145</v>
      </c>
    </row>
    <row r="21" spans="1:9" x14ac:dyDescent="0.25">
      <c r="A21">
        <v>34</v>
      </c>
      <c r="B21" t="s">
        <v>161</v>
      </c>
      <c r="C21" t="s">
        <v>145</v>
      </c>
    </row>
    <row r="22" spans="1:9" x14ac:dyDescent="0.25">
      <c r="A22">
        <v>53</v>
      </c>
      <c r="B22" t="s">
        <v>140</v>
      </c>
      <c r="C22" t="s">
        <v>145</v>
      </c>
    </row>
    <row r="23" spans="1:9" x14ac:dyDescent="0.25">
      <c r="A23">
        <v>3</v>
      </c>
      <c r="B23" t="s">
        <v>162</v>
      </c>
      <c r="C23" t="s">
        <v>145</v>
      </c>
    </row>
    <row r="24" spans="1:9" x14ac:dyDescent="0.25">
      <c r="A24">
        <v>4</v>
      </c>
      <c r="B24" t="s">
        <v>163</v>
      </c>
      <c r="C24" t="s">
        <v>145</v>
      </c>
    </row>
    <row r="25" spans="1:9" x14ac:dyDescent="0.25">
      <c r="A25">
        <v>5</v>
      </c>
      <c r="B25" t="s">
        <v>164</v>
      </c>
      <c r="C25" t="s">
        <v>145</v>
      </c>
    </row>
    <row r="26" spans="1:9" x14ac:dyDescent="0.25">
      <c r="A26">
        <v>6</v>
      </c>
      <c r="B26" t="s">
        <v>165</v>
      </c>
      <c r="C26" t="s">
        <v>145</v>
      </c>
    </row>
    <row r="27" spans="1:9" x14ac:dyDescent="0.25">
      <c r="A27">
        <v>8</v>
      </c>
      <c r="B27" t="s">
        <v>166</v>
      </c>
      <c r="C27" t="s">
        <v>145</v>
      </c>
    </row>
    <row r="28" spans="1:9" x14ac:dyDescent="0.25">
      <c r="A28">
        <v>9</v>
      </c>
      <c r="B28" t="s">
        <v>167</v>
      </c>
      <c r="C28" t="s">
        <v>145</v>
      </c>
    </row>
    <row r="29" spans="1:9" x14ac:dyDescent="0.25">
      <c r="A29">
        <v>10</v>
      </c>
      <c r="B29" t="s">
        <v>168</v>
      </c>
      <c r="C29" t="s">
        <v>145</v>
      </c>
    </row>
    <row r="30" spans="1:9" x14ac:dyDescent="0.25">
      <c r="A30">
        <v>28</v>
      </c>
      <c r="B30" t="s">
        <v>169</v>
      </c>
      <c r="C30" t="s">
        <v>145</v>
      </c>
    </row>
    <row r="31" spans="1:9" x14ac:dyDescent="0.25">
      <c r="A31">
        <v>54</v>
      </c>
      <c r="B31" t="s">
        <v>40</v>
      </c>
      <c r="C31" t="s">
        <v>145</v>
      </c>
    </row>
    <row r="32" spans="1:9" x14ac:dyDescent="0.25">
      <c r="A32">
        <v>40</v>
      </c>
      <c r="B32" t="s">
        <v>139</v>
      </c>
      <c r="C32" t="s">
        <v>145</v>
      </c>
    </row>
    <row r="33" spans="1:3" x14ac:dyDescent="0.25">
      <c r="A33">
        <v>47</v>
      </c>
      <c r="B33" t="s">
        <v>170</v>
      </c>
      <c r="C33" t="s">
        <v>145</v>
      </c>
    </row>
    <row r="34" spans="1:3" x14ac:dyDescent="0.25">
      <c r="A34">
        <v>49</v>
      </c>
      <c r="B34" t="s">
        <v>171</v>
      </c>
      <c r="C34" t="s">
        <v>145</v>
      </c>
    </row>
    <row r="35" spans="1:3" x14ac:dyDescent="0.25">
      <c r="A35">
        <v>51</v>
      </c>
      <c r="B35" t="s">
        <v>172</v>
      </c>
      <c r="C35" t="s">
        <v>145</v>
      </c>
    </row>
    <row r="36" spans="1:3" x14ac:dyDescent="0.25">
      <c r="A36">
        <v>52</v>
      </c>
      <c r="B36" t="s">
        <v>134</v>
      </c>
      <c r="C36" t="s">
        <v>145</v>
      </c>
    </row>
    <row r="37" spans="1:3" x14ac:dyDescent="0.25">
      <c r="A37">
        <v>84</v>
      </c>
      <c r="B37" t="s">
        <v>353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2"/>
  <sheetViews>
    <sheetView workbookViewId="0"/>
  </sheetViews>
  <sheetFormatPr defaultRowHeight="15" x14ac:dyDescent="0.25"/>
  <cols>
    <col min="1" max="1" width="16.7109375" bestFit="1" customWidth="1"/>
    <col min="2" max="2" width="5.7109375" bestFit="1" customWidth="1"/>
    <col min="3" max="3" width="8.7109375" bestFit="1" customWidth="1"/>
  </cols>
  <sheetData>
    <row r="1" spans="1:3" x14ac:dyDescent="0.25">
      <c r="A1" s="45" t="s">
        <v>292</v>
      </c>
    </row>
    <row r="2" spans="1:3" x14ac:dyDescent="0.25">
      <c r="A2" s="46" t="s">
        <v>293</v>
      </c>
      <c r="B2" s="46" t="s">
        <v>294</v>
      </c>
      <c r="C2" s="46" t="s">
        <v>295</v>
      </c>
    </row>
    <row r="4" spans="1:3" x14ac:dyDescent="0.25">
      <c r="A4" s="45" t="s">
        <v>296</v>
      </c>
    </row>
    <row r="5" spans="1:3" x14ac:dyDescent="0.25">
      <c r="A5" s="46" t="s">
        <v>293</v>
      </c>
      <c r="B5" s="46" t="s">
        <v>297</v>
      </c>
      <c r="C5" s="46" t="s">
        <v>295</v>
      </c>
    </row>
    <row r="8" spans="1:3" x14ac:dyDescent="0.25">
      <c r="A8" s="45" t="s">
        <v>298</v>
      </c>
      <c r="B8" t="s">
        <v>299</v>
      </c>
    </row>
    <row r="9" spans="1:3" x14ac:dyDescent="0.25">
      <c r="B9" t="s">
        <v>300</v>
      </c>
    </row>
    <row r="11" spans="1:3" x14ac:dyDescent="0.25">
      <c r="B11" t="s">
        <v>301</v>
      </c>
    </row>
    <row r="12" spans="1:3" x14ac:dyDescent="0.25">
      <c r="B12" t="s">
        <v>302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K22"/>
  <sheetViews>
    <sheetView workbookViewId="0">
      <selection activeCell="G20" sqref="G20"/>
    </sheetView>
  </sheetViews>
  <sheetFormatPr defaultRowHeight="15" x14ac:dyDescent="0.25"/>
  <cols>
    <col min="2" max="2" width="6.140625" customWidth="1"/>
    <col min="3" max="3" width="10.5703125" customWidth="1"/>
    <col min="4" max="4" width="9.42578125" customWidth="1"/>
    <col min="5" max="5" width="17.42578125" customWidth="1"/>
    <col min="6" max="6" width="13.28515625" hidden="1" customWidth="1"/>
    <col min="7" max="7" width="12.85546875" customWidth="1"/>
    <col min="8" max="8" width="5.42578125" customWidth="1"/>
    <col min="9" max="9" width="16" hidden="1" customWidth="1"/>
    <col min="10" max="10" width="23.28515625" customWidth="1"/>
    <col min="11" max="11" width="19.85546875" hidden="1" customWidth="1"/>
    <col min="12" max="12" width="8.85546875" hidden="1" customWidth="1"/>
    <col min="13" max="13" width="13.42578125" hidden="1" customWidth="1"/>
    <col min="14" max="14" width="12.28515625" customWidth="1"/>
    <col min="15" max="15" width="14" customWidth="1"/>
    <col min="16" max="16" width="11.140625" customWidth="1"/>
    <col min="17" max="17" width="12.7109375" customWidth="1"/>
    <col min="18" max="18" width="12.42578125" customWidth="1"/>
    <col min="19" max="19" width="10.5703125" customWidth="1"/>
    <col min="20" max="20" width="13.140625" customWidth="1"/>
    <col min="21" max="21" width="9.5703125" customWidth="1"/>
    <col min="22" max="22" width="9.42578125" customWidth="1"/>
    <col min="23" max="23" width="9.140625" customWidth="1"/>
    <col min="24" max="24" width="6.85546875" hidden="1" customWidth="1"/>
    <col min="25" max="25" width="11.7109375" hidden="1" customWidth="1"/>
    <col min="26" max="26" width="14.140625" hidden="1" customWidth="1"/>
    <col min="27" max="27" width="6.7109375" hidden="1" customWidth="1"/>
    <col min="28" max="28" width="20" hidden="1" customWidth="1"/>
    <col min="29" max="29" width="7.42578125" hidden="1" customWidth="1"/>
    <col min="30" max="30" width="11" hidden="1" customWidth="1"/>
    <col min="31" max="31" width="13" hidden="1" customWidth="1"/>
    <col min="32" max="32" width="14.28515625" hidden="1" customWidth="1"/>
    <col min="33" max="33" width="9" hidden="1" customWidth="1"/>
    <col min="34" max="34" width="14.140625" hidden="1" customWidth="1"/>
    <col min="35" max="35" width="13.5703125" hidden="1" customWidth="1"/>
    <col min="36" max="36" width="16.85546875" hidden="1" customWidth="1"/>
    <col min="37" max="37" width="16.7109375" hidden="1" customWidth="1"/>
    <col min="38" max="38" width="21.42578125" hidden="1" customWidth="1"/>
    <col min="39" max="39" width="10.7109375" hidden="1" customWidth="1"/>
    <col min="40" max="40" width="17" hidden="1" customWidth="1"/>
    <col min="41" max="41" width="12.7109375" customWidth="1"/>
    <col min="42" max="42" width="12.140625" customWidth="1"/>
    <col min="43" max="44" width="17.140625" customWidth="1"/>
    <col min="45" max="45" width="12.5703125" customWidth="1"/>
    <col min="46" max="46" width="8" style="47" customWidth="1"/>
    <col min="47" max="47" width="11.28515625" style="47" customWidth="1"/>
    <col min="48" max="48" width="15.7109375" style="47" customWidth="1"/>
    <col min="49" max="49" width="14.42578125" style="47" customWidth="1"/>
    <col min="50" max="50" width="22.7109375" style="47" customWidth="1"/>
    <col min="51" max="51" width="11.7109375" style="47" customWidth="1"/>
    <col min="52" max="52" width="13.85546875" customWidth="1"/>
    <col min="53" max="53" width="12.5703125" customWidth="1"/>
    <col min="56" max="56" width="5" customWidth="1"/>
    <col min="57" max="57" width="13" customWidth="1"/>
    <col min="58" max="58" width="9" customWidth="1"/>
    <col min="59" max="59" width="11.140625" customWidth="1"/>
    <col min="60" max="60" width="12.7109375" customWidth="1"/>
    <col min="61" max="61" width="11.85546875" customWidth="1"/>
    <col min="62" max="62" width="9" customWidth="1"/>
    <col min="63" max="63" width="14.140625" customWidth="1"/>
    <col min="64" max="64" width="9" customWidth="1"/>
    <col min="65" max="65" width="14.140625" customWidth="1"/>
  </cols>
  <sheetData>
    <row r="2" spans="2:63" x14ac:dyDescent="0.25">
      <c r="B2" s="128" t="s">
        <v>369</v>
      </c>
      <c r="C2" s="128"/>
      <c r="D2" s="128"/>
      <c r="BF2" t="s">
        <v>368</v>
      </c>
    </row>
    <row r="3" spans="2:63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  <c r="I3" t="s">
        <v>7</v>
      </c>
      <c r="J3" t="s">
        <v>8</v>
      </c>
      <c r="K3" t="s">
        <v>9</v>
      </c>
      <c r="L3" t="s">
        <v>10</v>
      </c>
      <c r="M3" t="s">
        <v>11</v>
      </c>
      <c r="N3" t="s">
        <v>12</v>
      </c>
      <c r="O3" t="s">
        <v>13</v>
      </c>
      <c r="P3" t="s">
        <v>14</v>
      </c>
      <c r="Q3" t="s">
        <v>15</v>
      </c>
      <c r="R3" t="s">
        <v>16</v>
      </c>
      <c r="S3" t="s">
        <v>17</v>
      </c>
      <c r="T3" t="s">
        <v>18</v>
      </c>
      <c r="U3" t="s">
        <v>19</v>
      </c>
      <c r="V3" t="s">
        <v>20</v>
      </c>
      <c r="W3" t="s">
        <v>21</v>
      </c>
      <c r="X3" t="s">
        <v>22</v>
      </c>
      <c r="Y3" t="s">
        <v>23</v>
      </c>
      <c r="Z3" t="s">
        <v>24</v>
      </c>
      <c r="AA3" t="s">
        <v>25</v>
      </c>
      <c r="AB3" t="s">
        <v>26</v>
      </c>
      <c r="AC3" t="s">
        <v>27</v>
      </c>
      <c r="AD3" t="s">
        <v>28</v>
      </c>
      <c r="AE3" t="s">
        <v>29</v>
      </c>
      <c r="AF3" t="s">
        <v>30</v>
      </c>
      <c r="AG3" t="s">
        <v>31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 t="s">
        <v>38</v>
      </c>
      <c r="AO3" t="s">
        <v>39</v>
      </c>
      <c r="AP3" t="s">
        <v>304</v>
      </c>
      <c r="AQ3" t="s">
        <v>305</v>
      </c>
      <c r="AR3" t="s">
        <v>306</v>
      </c>
      <c r="AS3" t="s">
        <v>307</v>
      </c>
      <c r="AT3" s="47" t="s">
        <v>372</v>
      </c>
      <c r="AU3" s="47" t="s">
        <v>377</v>
      </c>
      <c r="AV3" s="47" t="s">
        <v>378</v>
      </c>
      <c r="AW3" s="47" t="s">
        <v>379</v>
      </c>
      <c r="AX3" s="43" t="s">
        <v>383</v>
      </c>
      <c r="AY3" s="43" t="s">
        <v>386</v>
      </c>
      <c r="BD3" t="s">
        <v>22</v>
      </c>
      <c r="BE3" t="s">
        <v>29</v>
      </c>
      <c r="BF3" t="s">
        <v>363</v>
      </c>
      <c r="BG3" t="s">
        <v>364</v>
      </c>
      <c r="BH3" t="s">
        <v>365</v>
      </c>
      <c r="BI3" t="s">
        <v>366</v>
      </c>
      <c r="BJ3" t="s">
        <v>53</v>
      </c>
      <c r="BK3" t="s">
        <v>367</v>
      </c>
    </row>
    <row r="4" spans="2:63" x14ac:dyDescent="0.25">
      <c r="C4" t="s">
        <v>403</v>
      </c>
      <c r="E4" t="s">
        <v>41</v>
      </c>
      <c r="G4" t="s">
        <v>129</v>
      </c>
      <c r="H4" t="s">
        <v>404</v>
      </c>
      <c r="I4" t="s">
        <v>48</v>
      </c>
      <c r="J4" t="s">
        <v>311</v>
      </c>
      <c r="K4" t="s">
        <v>48</v>
      </c>
      <c r="L4" t="s">
        <v>48</v>
      </c>
      <c r="N4">
        <v>1209</v>
      </c>
      <c r="O4" t="s">
        <v>42</v>
      </c>
      <c r="P4">
        <v>0</v>
      </c>
      <c r="Q4">
        <v>0</v>
      </c>
      <c r="R4">
        <v>1209</v>
      </c>
      <c r="S4">
        <v>142857</v>
      </c>
      <c r="T4">
        <v>172714113</v>
      </c>
      <c r="U4">
        <v>0</v>
      </c>
      <c r="V4">
        <v>1</v>
      </c>
      <c r="W4" t="s">
        <v>169</v>
      </c>
      <c r="X4">
        <v>1077</v>
      </c>
      <c r="Y4">
        <v>20</v>
      </c>
      <c r="Z4">
        <v>0</v>
      </c>
      <c r="AB4">
        <v>28</v>
      </c>
      <c r="AD4" t="s">
        <v>403</v>
      </c>
      <c r="AE4">
        <v>20</v>
      </c>
      <c r="AF4" s="1">
        <v>45607.648738425924</v>
      </c>
      <c r="AG4">
        <v>0</v>
      </c>
      <c r="AH4">
        <v>1</v>
      </c>
      <c r="AI4">
        <v>0</v>
      </c>
      <c r="AJ4">
        <v>0</v>
      </c>
      <c r="AK4">
        <v>24</v>
      </c>
      <c r="AL4">
        <v>0</v>
      </c>
      <c r="AM4">
        <v>54</v>
      </c>
      <c r="AN4">
        <v>0</v>
      </c>
      <c r="AO4">
        <v>0</v>
      </c>
      <c r="AP4">
        <v>387</v>
      </c>
      <c r="AQ4">
        <v>28</v>
      </c>
      <c r="AR4">
        <v>0</v>
      </c>
      <c r="AS4" t="s">
        <v>314</v>
      </c>
      <c r="AT4" s="47" t="s">
        <v>405</v>
      </c>
      <c r="AU4" s="86" t="s">
        <v>406</v>
      </c>
      <c r="AV4" s="43">
        <v>0</v>
      </c>
      <c r="AW4" s="86" t="s">
        <v>380</v>
      </c>
      <c r="AX4" s="43">
        <v>271</v>
      </c>
      <c r="AY4" s="43">
        <v>1209</v>
      </c>
      <c r="BD4">
        <v>384</v>
      </c>
      <c r="BE4">
        <v>20</v>
      </c>
      <c r="BF4">
        <v>1239</v>
      </c>
      <c r="BG4">
        <v>880394267</v>
      </c>
      <c r="BH4" s="83">
        <v>45597</v>
      </c>
      <c r="BI4" s="83">
        <v>45600</v>
      </c>
      <c r="BJ4" t="s">
        <v>58</v>
      </c>
      <c r="BK4">
        <v>1</v>
      </c>
    </row>
    <row r="5" spans="2:63" x14ac:dyDescent="0.25">
      <c r="C5" t="s">
        <v>313</v>
      </c>
      <c r="E5" t="s">
        <v>91</v>
      </c>
      <c r="G5" t="s">
        <v>129</v>
      </c>
      <c r="H5" t="s">
        <v>407</v>
      </c>
      <c r="I5" t="s">
        <v>48</v>
      </c>
      <c r="J5" t="s">
        <v>375</v>
      </c>
      <c r="K5" t="s">
        <v>48</v>
      </c>
      <c r="L5" t="s">
        <v>48</v>
      </c>
      <c r="N5">
        <v>5232</v>
      </c>
      <c r="O5" t="s">
        <v>42</v>
      </c>
      <c r="P5">
        <v>0</v>
      </c>
      <c r="Q5">
        <v>0</v>
      </c>
      <c r="R5">
        <v>0</v>
      </c>
      <c r="S5">
        <v>142857</v>
      </c>
      <c r="T5">
        <v>331999668</v>
      </c>
      <c r="U5">
        <v>0</v>
      </c>
      <c r="V5">
        <v>3</v>
      </c>
      <c r="W5" t="s">
        <v>162</v>
      </c>
      <c r="X5">
        <v>1078</v>
      </c>
      <c r="Y5">
        <v>37</v>
      </c>
      <c r="Z5">
        <v>0</v>
      </c>
      <c r="AB5">
        <v>3</v>
      </c>
      <c r="AD5" t="s">
        <v>387</v>
      </c>
      <c r="AE5">
        <v>20</v>
      </c>
      <c r="AF5" s="1">
        <v>45607.649074074077</v>
      </c>
      <c r="AG5">
        <v>0</v>
      </c>
      <c r="AH5">
        <v>6</v>
      </c>
      <c r="AI5">
        <v>0</v>
      </c>
      <c r="AJ5">
        <v>0</v>
      </c>
      <c r="AK5">
        <v>24</v>
      </c>
      <c r="AL5">
        <v>0</v>
      </c>
      <c r="AM5">
        <v>22</v>
      </c>
      <c r="AN5">
        <v>0</v>
      </c>
      <c r="AO5">
        <v>0</v>
      </c>
      <c r="AP5">
        <v>388</v>
      </c>
      <c r="AQ5">
        <v>3</v>
      </c>
      <c r="AR5">
        <v>0</v>
      </c>
      <c r="AS5" t="s">
        <v>291</v>
      </c>
      <c r="AT5" s="47" t="s">
        <v>408</v>
      </c>
      <c r="AU5" s="86" t="s">
        <v>380</v>
      </c>
      <c r="AV5" s="43">
        <v>2324</v>
      </c>
      <c r="AW5" s="86" t="s">
        <v>409</v>
      </c>
      <c r="AX5" s="43">
        <v>339</v>
      </c>
      <c r="AY5" s="43">
        <v>2324</v>
      </c>
      <c r="BD5">
        <v>385</v>
      </c>
      <c r="BE5">
        <v>20</v>
      </c>
      <c r="BF5">
        <v>1929</v>
      </c>
      <c r="BG5">
        <v>1048998951</v>
      </c>
      <c r="BH5" s="83">
        <v>45609</v>
      </c>
      <c r="BI5" s="83">
        <v>45619</v>
      </c>
      <c r="BJ5" t="s">
        <v>58</v>
      </c>
      <c r="BK5">
        <v>0</v>
      </c>
    </row>
    <row r="6" spans="2:63" x14ac:dyDescent="0.25">
      <c r="B6" t="s">
        <v>40</v>
      </c>
      <c r="C6" t="s">
        <v>384</v>
      </c>
      <c r="E6" t="s">
        <v>41</v>
      </c>
      <c r="G6" t="s">
        <v>410</v>
      </c>
      <c r="H6" t="s">
        <v>411</v>
      </c>
      <c r="I6" t="s">
        <v>48</v>
      </c>
      <c r="J6" t="s">
        <v>412</v>
      </c>
      <c r="K6" t="s">
        <v>48</v>
      </c>
      <c r="L6" t="s">
        <v>48</v>
      </c>
      <c r="N6">
        <v>12342</v>
      </c>
      <c r="O6" t="s">
        <v>42</v>
      </c>
      <c r="P6">
        <v>0</v>
      </c>
      <c r="Q6">
        <v>0</v>
      </c>
      <c r="R6">
        <v>12312</v>
      </c>
      <c r="S6">
        <v>8392</v>
      </c>
      <c r="T6">
        <v>103322304</v>
      </c>
      <c r="U6">
        <v>0</v>
      </c>
      <c r="V6">
        <v>0</v>
      </c>
      <c r="W6" t="s">
        <v>144</v>
      </c>
      <c r="X6">
        <v>1071</v>
      </c>
      <c r="Y6">
        <v>20</v>
      </c>
      <c r="Z6">
        <v>54</v>
      </c>
      <c r="AB6">
        <v>2</v>
      </c>
      <c r="AD6" t="s">
        <v>413</v>
      </c>
      <c r="AE6">
        <v>20</v>
      </c>
      <c r="AF6" s="1">
        <v>45607.647187499999</v>
      </c>
      <c r="AG6">
        <v>1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1175</v>
      </c>
      <c r="AP6">
        <v>384</v>
      </c>
      <c r="AQ6">
        <v>54</v>
      </c>
      <c r="AR6">
        <v>2</v>
      </c>
      <c r="AU6" s="86" t="s">
        <v>380</v>
      </c>
      <c r="AV6" s="43">
        <v>0</v>
      </c>
      <c r="AW6" s="86" t="s">
        <v>380</v>
      </c>
      <c r="AX6" s="43">
        <v>0</v>
      </c>
      <c r="AY6" s="43">
        <v>12312</v>
      </c>
      <c r="BD6">
        <v>386</v>
      </c>
      <c r="BE6">
        <v>20</v>
      </c>
      <c r="BF6">
        <v>1099</v>
      </c>
      <c r="BG6">
        <v>334571094</v>
      </c>
      <c r="BH6" s="83">
        <v>45603</v>
      </c>
      <c r="BI6" s="83">
        <v>45612</v>
      </c>
      <c r="BJ6" t="s">
        <v>58</v>
      </c>
      <c r="BK6">
        <v>0</v>
      </c>
    </row>
    <row r="7" spans="2:63" x14ac:dyDescent="0.25">
      <c r="B7" t="s">
        <v>40</v>
      </c>
      <c r="C7" t="s">
        <v>384</v>
      </c>
      <c r="E7" t="s">
        <v>44</v>
      </c>
      <c r="G7" t="s">
        <v>410</v>
      </c>
      <c r="H7" t="s">
        <v>411</v>
      </c>
      <c r="I7" t="s">
        <v>48</v>
      </c>
      <c r="J7" t="s">
        <v>412</v>
      </c>
      <c r="K7" t="s">
        <v>48</v>
      </c>
      <c r="L7" t="s">
        <v>48</v>
      </c>
      <c r="N7">
        <v>23122</v>
      </c>
      <c r="O7" t="s">
        <v>42</v>
      </c>
      <c r="P7">
        <v>0</v>
      </c>
      <c r="Q7">
        <v>0</v>
      </c>
      <c r="R7">
        <v>12312</v>
      </c>
      <c r="S7">
        <v>1434</v>
      </c>
      <c r="T7">
        <v>17655408</v>
      </c>
      <c r="U7">
        <v>0</v>
      </c>
      <c r="V7">
        <v>0</v>
      </c>
      <c r="W7" t="s">
        <v>144</v>
      </c>
      <c r="X7">
        <v>1072</v>
      </c>
      <c r="Y7">
        <v>21</v>
      </c>
      <c r="Z7">
        <v>54</v>
      </c>
      <c r="AB7">
        <v>2</v>
      </c>
      <c r="AD7" t="s">
        <v>413</v>
      </c>
      <c r="AE7">
        <v>20</v>
      </c>
      <c r="AF7" s="1">
        <v>45607.647187499999</v>
      </c>
      <c r="AG7">
        <v>1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1176</v>
      </c>
      <c r="AP7">
        <v>384</v>
      </c>
      <c r="AQ7">
        <v>54</v>
      </c>
      <c r="AR7">
        <v>2</v>
      </c>
      <c r="AU7" s="86" t="s">
        <v>380</v>
      </c>
      <c r="AV7" s="43">
        <v>0</v>
      </c>
      <c r="AW7" s="86" t="s">
        <v>380</v>
      </c>
      <c r="AX7" s="43">
        <v>0</v>
      </c>
      <c r="AY7" s="43">
        <v>12312</v>
      </c>
      <c r="BD7">
        <v>387</v>
      </c>
      <c r="BE7">
        <v>20</v>
      </c>
      <c r="BF7">
        <v>2929</v>
      </c>
      <c r="BG7">
        <v>172714113</v>
      </c>
      <c r="BH7" s="83">
        <v>45610</v>
      </c>
      <c r="BI7" s="83">
        <v>45610</v>
      </c>
      <c r="BJ7" t="s">
        <v>58</v>
      </c>
      <c r="BK7">
        <v>0</v>
      </c>
    </row>
    <row r="8" spans="2:63" x14ac:dyDescent="0.25">
      <c r="B8" t="s">
        <v>40</v>
      </c>
      <c r="C8" t="s">
        <v>384</v>
      </c>
      <c r="E8" t="s">
        <v>86</v>
      </c>
      <c r="G8" t="s">
        <v>410</v>
      </c>
      <c r="H8" t="s">
        <v>411</v>
      </c>
      <c r="I8" t="s">
        <v>48</v>
      </c>
      <c r="J8" t="s">
        <v>412</v>
      </c>
      <c r="K8" t="s">
        <v>48</v>
      </c>
      <c r="L8" t="s">
        <v>48</v>
      </c>
      <c r="N8">
        <v>12311</v>
      </c>
      <c r="O8" t="s">
        <v>42</v>
      </c>
      <c r="P8">
        <v>0</v>
      </c>
      <c r="Q8">
        <v>0</v>
      </c>
      <c r="R8">
        <v>24313</v>
      </c>
      <c r="S8">
        <v>31235</v>
      </c>
      <c r="T8">
        <v>759416555</v>
      </c>
      <c r="U8">
        <v>0</v>
      </c>
      <c r="V8">
        <v>0</v>
      </c>
      <c r="W8" t="s">
        <v>144</v>
      </c>
      <c r="X8">
        <v>1073</v>
      </c>
      <c r="Y8">
        <v>22</v>
      </c>
      <c r="Z8">
        <v>54</v>
      </c>
      <c r="AB8">
        <v>2</v>
      </c>
      <c r="AD8" t="s">
        <v>413</v>
      </c>
      <c r="AE8">
        <v>20</v>
      </c>
      <c r="AF8" s="1">
        <v>45607.647187499999</v>
      </c>
      <c r="AG8">
        <v>1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1177</v>
      </c>
      <c r="AP8">
        <v>384</v>
      </c>
      <c r="AQ8">
        <v>54</v>
      </c>
      <c r="AR8">
        <v>2</v>
      </c>
      <c r="AU8" s="86" t="s">
        <v>380</v>
      </c>
      <c r="AV8" s="43">
        <v>0</v>
      </c>
      <c r="AW8" s="86" t="s">
        <v>380</v>
      </c>
      <c r="AX8" s="43">
        <v>0</v>
      </c>
      <c r="AY8" s="43">
        <v>24313</v>
      </c>
      <c r="BD8">
        <v>388</v>
      </c>
      <c r="BE8">
        <v>20</v>
      </c>
      <c r="BF8">
        <v>7737</v>
      </c>
      <c r="BG8">
        <v>331999668</v>
      </c>
      <c r="BH8" s="83">
        <v>45611</v>
      </c>
      <c r="BI8" s="83">
        <v>45614</v>
      </c>
      <c r="BJ8" t="s">
        <v>58</v>
      </c>
      <c r="BK8">
        <v>0</v>
      </c>
    </row>
    <row r="9" spans="2:63" x14ac:dyDescent="0.25">
      <c r="B9" t="s">
        <v>162</v>
      </c>
      <c r="C9" t="s">
        <v>312</v>
      </c>
      <c r="E9" t="s">
        <v>86</v>
      </c>
      <c r="G9" t="s">
        <v>129</v>
      </c>
      <c r="H9" t="s">
        <v>414</v>
      </c>
      <c r="I9" t="s">
        <v>48</v>
      </c>
      <c r="J9" t="s">
        <v>371</v>
      </c>
      <c r="K9" t="s">
        <v>48</v>
      </c>
      <c r="L9" t="s">
        <v>48</v>
      </c>
      <c r="N9">
        <v>5000</v>
      </c>
      <c r="O9" t="s">
        <v>42</v>
      </c>
      <c r="P9">
        <v>0</v>
      </c>
      <c r="Q9">
        <v>0</v>
      </c>
      <c r="R9">
        <v>5000</v>
      </c>
      <c r="S9">
        <v>142857</v>
      </c>
      <c r="T9">
        <v>714285000</v>
      </c>
      <c r="U9">
        <v>0</v>
      </c>
      <c r="V9">
        <v>0</v>
      </c>
      <c r="W9" t="s">
        <v>40</v>
      </c>
      <c r="X9">
        <v>1074</v>
      </c>
      <c r="Y9">
        <v>22</v>
      </c>
      <c r="Z9">
        <v>3</v>
      </c>
      <c r="AB9">
        <v>54</v>
      </c>
      <c r="AD9" t="s">
        <v>415</v>
      </c>
      <c r="AE9">
        <v>20</v>
      </c>
      <c r="AF9" s="1">
        <v>45607.647650462961</v>
      </c>
      <c r="AG9">
        <v>2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385</v>
      </c>
      <c r="AQ9">
        <v>3</v>
      </c>
      <c r="AR9">
        <v>54</v>
      </c>
      <c r="AU9" s="86" t="s">
        <v>380</v>
      </c>
      <c r="AV9" s="43">
        <v>0</v>
      </c>
      <c r="AW9" s="86" t="s">
        <v>380</v>
      </c>
      <c r="AX9" s="43">
        <v>0</v>
      </c>
      <c r="AY9" s="43">
        <v>5000</v>
      </c>
      <c r="BD9">
        <v>389</v>
      </c>
      <c r="BE9">
        <v>20</v>
      </c>
      <c r="BF9">
        <v>1311</v>
      </c>
      <c r="BG9">
        <v>334571094</v>
      </c>
      <c r="BH9" s="83">
        <v>45610</v>
      </c>
      <c r="BI9" s="83">
        <v>45612</v>
      </c>
      <c r="BJ9" t="s">
        <v>58</v>
      </c>
      <c r="BK9">
        <v>0</v>
      </c>
    </row>
    <row r="10" spans="2:63" x14ac:dyDescent="0.25">
      <c r="B10" t="s">
        <v>162</v>
      </c>
      <c r="C10" t="s">
        <v>312</v>
      </c>
      <c r="E10" t="s">
        <v>44</v>
      </c>
      <c r="G10" t="s">
        <v>129</v>
      </c>
      <c r="H10" t="s">
        <v>414</v>
      </c>
      <c r="I10" t="s">
        <v>48</v>
      </c>
      <c r="J10" t="s">
        <v>371</v>
      </c>
      <c r="K10" t="s">
        <v>48</v>
      </c>
      <c r="L10" t="s">
        <v>48</v>
      </c>
      <c r="N10">
        <v>2342</v>
      </c>
      <c r="O10" t="s">
        <v>42</v>
      </c>
      <c r="P10">
        <v>0</v>
      </c>
      <c r="Q10">
        <v>0</v>
      </c>
      <c r="R10">
        <v>2343</v>
      </c>
      <c r="S10">
        <v>142857</v>
      </c>
      <c r="T10">
        <v>334713951</v>
      </c>
      <c r="U10">
        <v>0</v>
      </c>
      <c r="V10">
        <v>0</v>
      </c>
      <c r="W10" t="s">
        <v>40</v>
      </c>
      <c r="X10">
        <v>1075</v>
      </c>
      <c r="Y10">
        <v>21</v>
      </c>
      <c r="Z10">
        <v>3</v>
      </c>
      <c r="AB10">
        <v>54</v>
      </c>
      <c r="AD10" t="s">
        <v>415</v>
      </c>
      <c r="AE10">
        <v>20</v>
      </c>
      <c r="AF10" s="1">
        <v>45607.647650462961</v>
      </c>
      <c r="AG10">
        <v>2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385</v>
      </c>
      <c r="AQ10">
        <v>3</v>
      </c>
      <c r="AR10">
        <v>54</v>
      </c>
      <c r="AU10" s="86" t="s">
        <v>380</v>
      </c>
      <c r="AV10" s="43">
        <v>0</v>
      </c>
      <c r="AW10" s="86" t="s">
        <v>380</v>
      </c>
      <c r="AX10" s="43">
        <v>0</v>
      </c>
      <c r="AY10" s="43">
        <v>2343</v>
      </c>
      <c r="BD10">
        <v>390</v>
      </c>
      <c r="BE10">
        <v>20</v>
      </c>
      <c r="BF10">
        <v>3243</v>
      </c>
      <c r="BG10">
        <v>285714000</v>
      </c>
      <c r="BH10" s="83">
        <v>45610</v>
      </c>
      <c r="BI10" s="83">
        <v>45612</v>
      </c>
      <c r="BJ10" t="s">
        <v>58</v>
      </c>
      <c r="BK10">
        <v>0</v>
      </c>
    </row>
    <row r="11" spans="2:63" x14ac:dyDescent="0.25">
      <c r="C11" t="s">
        <v>309</v>
      </c>
      <c r="E11" t="s">
        <v>41</v>
      </c>
      <c r="G11" t="s">
        <v>129</v>
      </c>
      <c r="H11" t="s">
        <v>416</v>
      </c>
      <c r="I11" t="s">
        <v>48</v>
      </c>
      <c r="J11" t="s">
        <v>311</v>
      </c>
      <c r="K11" t="s">
        <v>48</v>
      </c>
      <c r="L11" t="s">
        <v>48</v>
      </c>
      <c r="N11">
        <v>2343</v>
      </c>
      <c r="O11" t="s">
        <v>42</v>
      </c>
      <c r="P11">
        <v>0</v>
      </c>
      <c r="Q11">
        <v>0</v>
      </c>
      <c r="R11">
        <v>0</v>
      </c>
      <c r="S11">
        <v>142857</v>
      </c>
      <c r="T11">
        <v>334571094</v>
      </c>
      <c r="U11">
        <v>0</v>
      </c>
      <c r="V11">
        <v>2</v>
      </c>
      <c r="W11" t="s">
        <v>169</v>
      </c>
      <c r="X11">
        <v>1076</v>
      </c>
      <c r="Y11">
        <v>20</v>
      </c>
      <c r="Z11">
        <v>0</v>
      </c>
      <c r="AB11">
        <v>28</v>
      </c>
      <c r="AD11" t="s">
        <v>370</v>
      </c>
      <c r="AE11">
        <v>20</v>
      </c>
      <c r="AF11" s="1">
        <v>45607.648043981484</v>
      </c>
      <c r="AG11">
        <v>0</v>
      </c>
      <c r="AH11">
        <v>1</v>
      </c>
      <c r="AI11">
        <v>0</v>
      </c>
      <c r="AJ11">
        <v>0</v>
      </c>
      <c r="AK11">
        <v>24</v>
      </c>
      <c r="AL11">
        <v>0</v>
      </c>
      <c r="AM11">
        <v>34</v>
      </c>
      <c r="AN11">
        <v>0</v>
      </c>
      <c r="AO11">
        <v>0</v>
      </c>
      <c r="AP11">
        <v>386</v>
      </c>
      <c r="AQ11">
        <v>28</v>
      </c>
      <c r="AR11">
        <v>0</v>
      </c>
      <c r="AS11" t="s">
        <v>291</v>
      </c>
      <c r="AT11" s="47" t="s">
        <v>417</v>
      </c>
      <c r="AU11" s="86" t="s">
        <v>380</v>
      </c>
      <c r="AV11" s="43">
        <v>2342</v>
      </c>
      <c r="AW11" s="86" t="s">
        <v>418</v>
      </c>
      <c r="AX11" s="43">
        <v>271</v>
      </c>
      <c r="AY11" s="43">
        <v>2342</v>
      </c>
      <c r="BD11">
        <v>391</v>
      </c>
      <c r="BE11">
        <v>20</v>
      </c>
      <c r="BF11">
        <v>9389</v>
      </c>
      <c r="BG11">
        <v>857142000</v>
      </c>
      <c r="BH11" s="83">
        <v>45609</v>
      </c>
      <c r="BI11" s="83">
        <v>45612</v>
      </c>
      <c r="BJ11" t="s">
        <v>58</v>
      </c>
      <c r="BK11">
        <v>0</v>
      </c>
    </row>
    <row r="12" spans="2:63" x14ac:dyDescent="0.25">
      <c r="C12" t="s">
        <v>403</v>
      </c>
      <c r="E12" t="s">
        <v>99</v>
      </c>
      <c r="G12" t="s">
        <v>129</v>
      </c>
      <c r="H12" t="s">
        <v>419</v>
      </c>
      <c r="I12" t="s">
        <v>48</v>
      </c>
      <c r="J12" t="s">
        <v>311</v>
      </c>
      <c r="K12" t="s">
        <v>48</v>
      </c>
      <c r="L12" t="s">
        <v>48</v>
      </c>
      <c r="N12">
        <v>3234</v>
      </c>
      <c r="O12" t="s">
        <v>42</v>
      </c>
      <c r="P12">
        <v>0</v>
      </c>
      <c r="Q12">
        <v>0</v>
      </c>
      <c r="R12">
        <v>0</v>
      </c>
      <c r="S12">
        <v>142857</v>
      </c>
      <c r="T12">
        <v>334571094</v>
      </c>
      <c r="U12">
        <v>0</v>
      </c>
      <c r="V12">
        <v>3</v>
      </c>
      <c r="W12" t="s">
        <v>162</v>
      </c>
      <c r="X12">
        <v>1079</v>
      </c>
      <c r="Y12">
        <v>25</v>
      </c>
      <c r="Z12">
        <v>0</v>
      </c>
      <c r="AB12">
        <v>3</v>
      </c>
      <c r="AD12" t="s">
        <v>370</v>
      </c>
      <c r="AE12">
        <v>20</v>
      </c>
      <c r="AF12" s="1">
        <v>45607.649351851855</v>
      </c>
      <c r="AG12">
        <v>0</v>
      </c>
      <c r="AH12">
        <v>1</v>
      </c>
      <c r="AI12">
        <v>0</v>
      </c>
      <c r="AJ12">
        <v>0</v>
      </c>
      <c r="AK12">
        <v>24</v>
      </c>
      <c r="AL12">
        <v>0</v>
      </c>
      <c r="AM12">
        <v>33</v>
      </c>
      <c r="AN12">
        <v>0</v>
      </c>
      <c r="AO12">
        <v>0</v>
      </c>
      <c r="AP12">
        <v>389</v>
      </c>
      <c r="AQ12">
        <v>3</v>
      </c>
      <c r="AR12">
        <v>0</v>
      </c>
      <c r="AS12" t="s">
        <v>291</v>
      </c>
      <c r="AT12" s="47" t="s">
        <v>420</v>
      </c>
      <c r="AU12" s="86" t="s">
        <v>380</v>
      </c>
      <c r="AV12" s="43">
        <v>2342</v>
      </c>
      <c r="AW12" s="86" t="s">
        <v>421</v>
      </c>
      <c r="AX12" s="43">
        <v>334</v>
      </c>
      <c r="AY12" s="43">
        <v>2342</v>
      </c>
      <c r="BD12">
        <v>392</v>
      </c>
      <c r="BE12">
        <v>20</v>
      </c>
      <c r="BF12">
        <v>4532</v>
      </c>
      <c r="BG12">
        <v>334571094</v>
      </c>
      <c r="BH12" s="83">
        <v>45603</v>
      </c>
      <c r="BI12" s="83">
        <v>45605</v>
      </c>
      <c r="BJ12" t="s">
        <v>58</v>
      </c>
      <c r="BK12">
        <v>0</v>
      </c>
    </row>
    <row r="13" spans="2:63" x14ac:dyDescent="0.25">
      <c r="C13" t="s">
        <v>403</v>
      </c>
      <c r="E13" t="s">
        <v>91</v>
      </c>
      <c r="G13" t="s">
        <v>129</v>
      </c>
      <c r="H13" t="s">
        <v>422</v>
      </c>
      <c r="I13" t="s">
        <v>48</v>
      </c>
      <c r="J13" t="s">
        <v>373</v>
      </c>
      <c r="K13" t="s">
        <v>48</v>
      </c>
      <c r="L13" t="s">
        <v>48</v>
      </c>
      <c r="N13">
        <v>2000</v>
      </c>
      <c r="O13" t="s">
        <v>42</v>
      </c>
      <c r="P13">
        <v>0</v>
      </c>
      <c r="Q13">
        <v>0</v>
      </c>
      <c r="R13">
        <v>0</v>
      </c>
      <c r="S13">
        <v>142857</v>
      </c>
      <c r="T13">
        <v>285714000</v>
      </c>
      <c r="U13">
        <v>0</v>
      </c>
      <c r="V13">
        <v>2</v>
      </c>
      <c r="W13" t="s">
        <v>162</v>
      </c>
      <c r="X13">
        <v>1080</v>
      </c>
      <c r="Y13">
        <v>37</v>
      </c>
      <c r="Z13">
        <v>0</v>
      </c>
      <c r="AB13">
        <v>3</v>
      </c>
      <c r="AD13" t="s">
        <v>370</v>
      </c>
      <c r="AE13">
        <v>20</v>
      </c>
      <c r="AF13" s="1">
        <v>45607.649791666663</v>
      </c>
      <c r="AG13">
        <v>0</v>
      </c>
      <c r="AH13">
        <v>5</v>
      </c>
      <c r="AI13">
        <v>0</v>
      </c>
      <c r="AJ13">
        <v>0</v>
      </c>
      <c r="AK13">
        <v>24</v>
      </c>
      <c r="AL13">
        <v>0</v>
      </c>
      <c r="AM13">
        <v>44</v>
      </c>
      <c r="AN13">
        <v>0</v>
      </c>
      <c r="AO13">
        <v>0</v>
      </c>
      <c r="AP13">
        <v>390</v>
      </c>
      <c r="AQ13">
        <v>3</v>
      </c>
      <c r="AR13">
        <v>0</v>
      </c>
      <c r="AS13" t="s">
        <v>291</v>
      </c>
      <c r="AT13" s="47" t="s">
        <v>423</v>
      </c>
      <c r="AU13" s="86" t="s">
        <v>380</v>
      </c>
      <c r="AV13" s="43">
        <v>2000</v>
      </c>
      <c r="AW13" s="86" t="s">
        <v>424</v>
      </c>
      <c r="AX13" s="43">
        <v>338</v>
      </c>
      <c r="AY13" s="43">
        <v>2000</v>
      </c>
      <c r="BD13">
        <v>393</v>
      </c>
      <c r="BE13">
        <v>20</v>
      </c>
      <c r="BF13">
        <v>1412</v>
      </c>
      <c r="BG13">
        <v>428571000</v>
      </c>
      <c r="BH13" s="83">
        <v>45603</v>
      </c>
      <c r="BI13" s="83">
        <v>45608</v>
      </c>
      <c r="BJ13" t="s">
        <v>58</v>
      </c>
      <c r="BK13">
        <v>0</v>
      </c>
    </row>
    <row r="14" spans="2:63" x14ac:dyDescent="0.25">
      <c r="C14" t="s">
        <v>312</v>
      </c>
      <c r="E14" t="s">
        <v>93</v>
      </c>
      <c r="G14" t="s">
        <v>129</v>
      </c>
      <c r="H14" t="s">
        <v>425</v>
      </c>
      <c r="I14" t="s">
        <v>48</v>
      </c>
      <c r="J14" t="s">
        <v>311</v>
      </c>
      <c r="K14" t="s">
        <v>48</v>
      </c>
      <c r="L14" t="s">
        <v>48</v>
      </c>
      <c r="N14">
        <v>6000</v>
      </c>
      <c r="O14" t="s">
        <v>42</v>
      </c>
      <c r="P14">
        <v>0</v>
      </c>
      <c r="Q14">
        <v>0</v>
      </c>
      <c r="R14">
        <v>0</v>
      </c>
      <c r="S14">
        <v>142857</v>
      </c>
      <c r="T14">
        <v>857142000</v>
      </c>
      <c r="U14">
        <v>0</v>
      </c>
      <c r="V14">
        <v>2</v>
      </c>
      <c r="W14" t="s">
        <v>169</v>
      </c>
      <c r="X14">
        <v>1081</v>
      </c>
      <c r="Y14">
        <v>38</v>
      </c>
      <c r="Z14">
        <v>0</v>
      </c>
      <c r="AB14">
        <v>28</v>
      </c>
      <c r="AD14" t="s">
        <v>370</v>
      </c>
      <c r="AE14">
        <v>20</v>
      </c>
      <c r="AF14" s="1">
        <v>45607.650185185186</v>
      </c>
      <c r="AG14">
        <v>0</v>
      </c>
      <c r="AH14">
        <v>1</v>
      </c>
      <c r="AI14">
        <v>0</v>
      </c>
      <c r="AJ14">
        <v>0</v>
      </c>
      <c r="AK14">
        <v>26</v>
      </c>
      <c r="AL14">
        <v>0</v>
      </c>
      <c r="AM14">
        <v>44</v>
      </c>
      <c r="AN14">
        <v>0</v>
      </c>
      <c r="AO14">
        <v>0</v>
      </c>
      <c r="AP14">
        <v>391</v>
      </c>
      <c r="AQ14">
        <v>28</v>
      </c>
      <c r="AR14">
        <v>0</v>
      </c>
      <c r="AS14" t="s">
        <v>291</v>
      </c>
      <c r="AT14" s="47" t="s">
        <v>423</v>
      </c>
      <c r="AU14" s="86" t="s">
        <v>380</v>
      </c>
      <c r="AV14" s="43">
        <v>6000</v>
      </c>
      <c r="AW14" s="86" t="s">
        <v>424</v>
      </c>
      <c r="AX14" s="43">
        <v>271</v>
      </c>
      <c r="AY14" s="43">
        <v>6000</v>
      </c>
      <c r="BD14">
        <v>394</v>
      </c>
      <c r="BE14">
        <v>20</v>
      </c>
      <c r="BF14">
        <v>3453</v>
      </c>
      <c r="BG14">
        <v>175999824</v>
      </c>
      <c r="BH14" s="83">
        <v>45604</v>
      </c>
      <c r="BI14" s="83">
        <v>45611</v>
      </c>
      <c r="BJ14" t="s">
        <v>58</v>
      </c>
      <c r="BK14">
        <v>0</v>
      </c>
    </row>
    <row r="15" spans="2:63" x14ac:dyDescent="0.25">
      <c r="C15" t="s">
        <v>309</v>
      </c>
      <c r="E15" t="s">
        <v>93</v>
      </c>
      <c r="G15" t="s">
        <v>129</v>
      </c>
      <c r="H15" t="s">
        <v>426</v>
      </c>
      <c r="I15" t="s">
        <v>48</v>
      </c>
      <c r="J15" t="s">
        <v>375</v>
      </c>
      <c r="K15" t="s">
        <v>48</v>
      </c>
      <c r="L15" t="s">
        <v>48</v>
      </c>
      <c r="N15">
        <v>2242</v>
      </c>
      <c r="O15" t="s">
        <v>42</v>
      </c>
      <c r="P15">
        <v>0</v>
      </c>
      <c r="Q15">
        <v>0</v>
      </c>
      <c r="R15">
        <v>2342</v>
      </c>
      <c r="S15">
        <v>142857</v>
      </c>
      <c r="T15">
        <v>334571094</v>
      </c>
      <c r="U15">
        <v>0</v>
      </c>
      <c r="V15">
        <v>3</v>
      </c>
      <c r="W15" t="s">
        <v>162</v>
      </c>
      <c r="X15">
        <v>1082</v>
      </c>
      <c r="Y15">
        <v>38</v>
      </c>
      <c r="Z15">
        <v>0</v>
      </c>
      <c r="AB15">
        <v>3</v>
      </c>
      <c r="AD15" t="s">
        <v>308</v>
      </c>
      <c r="AE15">
        <v>20</v>
      </c>
      <c r="AF15" s="1">
        <v>45607.650983796295</v>
      </c>
      <c r="AG15">
        <v>0</v>
      </c>
      <c r="AH15">
        <v>6</v>
      </c>
      <c r="AI15">
        <v>0</v>
      </c>
      <c r="AJ15">
        <v>0</v>
      </c>
      <c r="AK15">
        <v>24</v>
      </c>
      <c r="AL15">
        <v>0</v>
      </c>
      <c r="AM15">
        <v>24</v>
      </c>
      <c r="AN15">
        <v>0</v>
      </c>
      <c r="AO15">
        <v>0</v>
      </c>
      <c r="AP15">
        <v>392</v>
      </c>
      <c r="AQ15">
        <v>3</v>
      </c>
      <c r="AR15">
        <v>0</v>
      </c>
      <c r="AS15" t="s">
        <v>314</v>
      </c>
      <c r="AT15" s="47" t="s">
        <v>427</v>
      </c>
      <c r="AU15" s="86" t="s">
        <v>428</v>
      </c>
      <c r="AV15" s="43">
        <v>0</v>
      </c>
      <c r="AW15" s="86" t="s">
        <v>380</v>
      </c>
      <c r="AX15" s="43">
        <v>339</v>
      </c>
      <c r="AY15" s="43">
        <v>2342</v>
      </c>
      <c r="BD15">
        <v>395</v>
      </c>
      <c r="BE15">
        <v>20</v>
      </c>
      <c r="BF15">
        <v>4322</v>
      </c>
      <c r="BG15">
        <v>488856654</v>
      </c>
      <c r="BH15" s="83">
        <v>45610</v>
      </c>
      <c r="BI15" s="83">
        <v>45615</v>
      </c>
      <c r="BJ15" t="s">
        <v>58</v>
      </c>
      <c r="BK15">
        <v>0</v>
      </c>
    </row>
    <row r="16" spans="2:63" x14ac:dyDescent="0.25">
      <c r="C16" t="s">
        <v>309</v>
      </c>
      <c r="E16" t="s">
        <v>91</v>
      </c>
      <c r="G16" t="s">
        <v>129</v>
      </c>
      <c r="H16" t="s">
        <v>429</v>
      </c>
      <c r="I16" t="s">
        <v>48</v>
      </c>
      <c r="J16" t="s">
        <v>311</v>
      </c>
      <c r="K16" t="s">
        <v>48</v>
      </c>
      <c r="L16" t="s">
        <v>48</v>
      </c>
      <c r="N16">
        <v>3000</v>
      </c>
      <c r="O16" t="s">
        <v>42</v>
      </c>
      <c r="P16">
        <v>0</v>
      </c>
      <c r="Q16">
        <v>0</v>
      </c>
      <c r="R16">
        <v>0</v>
      </c>
      <c r="S16">
        <v>142857</v>
      </c>
      <c r="T16">
        <v>428571000</v>
      </c>
      <c r="U16">
        <v>0</v>
      </c>
      <c r="V16">
        <v>4</v>
      </c>
      <c r="W16" t="s">
        <v>163</v>
      </c>
      <c r="X16">
        <v>1083</v>
      </c>
      <c r="Y16">
        <v>37</v>
      </c>
      <c r="Z16">
        <v>0</v>
      </c>
      <c r="AB16">
        <v>4</v>
      </c>
      <c r="AD16" t="s">
        <v>374</v>
      </c>
      <c r="AE16">
        <v>20</v>
      </c>
      <c r="AF16" s="1">
        <v>45607.651956018519</v>
      </c>
      <c r="AG16">
        <v>0</v>
      </c>
      <c r="AH16">
        <v>1</v>
      </c>
      <c r="AI16">
        <v>0</v>
      </c>
      <c r="AJ16">
        <v>0</v>
      </c>
      <c r="AK16">
        <v>26</v>
      </c>
      <c r="AL16">
        <v>0</v>
      </c>
      <c r="AM16">
        <v>12</v>
      </c>
      <c r="AN16">
        <v>0</v>
      </c>
      <c r="AO16">
        <v>0</v>
      </c>
      <c r="AP16">
        <v>393</v>
      </c>
      <c r="AQ16">
        <v>4</v>
      </c>
      <c r="AR16">
        <v>0</v>
      </c>
      <c r="AS16" t="s">
        <v>291</v>
      </c>
      <c r="AT16" s="47" t="s">
        <v>430</v>
      </c>
      <c r="AU16" s="86" t="s">
        <v>380</v>
      </c>
      <c r="AV16" s="43">
        <v>3000</v>
      </c>
      <c r="AW16" s="86" t="s">
        <v>431</v>
      </c>
      <c r="AX16" s="43">
        <v>325</v>
      </c>
      <c r="AY16" s="43">
        <v>3000</v>
      </c>
      <c r="BD16">
        <v>396</v>
      </c>
      <c r="BE16">
        <v>20</v>
      </c>
      <c r="BF16">
        <v>7543</v>
      </c>
      <c r="BG16">
        <v>173142684</v>
      </c>
      <c r="BH16" s="83">
        <v>45603</v>
      </c>
      <c r="BI16" s="83">
        <v>45605</v>
      </c>
      <c r="BJ16" t="s">
        <v>58</v>
      </c>
      <c r="BK16">
        <v>0</v>
      </c>
    </row>
    <row r="17" spans="3:63" x14ac:dyDescent="0.25">
      <c r="C17" t="s">
        <v>310</v>
      </c>
      <c r="E17" t="s">
        <v>91</v>
      </c>
      <c r="G17" t="s">
        <v>129</v>
      </c>
      <c r="H17" t="s">
        <v>432</v>
      </c>
      <c r="I17" t="s">
        <v>48</v>
      </c>
      <c r="J17" t="s">
        <v>375</v>
      </c>
      <c r="K17" t="s">
        <v>48</v>
      </c>
      <c r="L17" t="s">
        <v>48</v>
      </c>
      <c r="N17">
        <v>1212</v>
      </c>
      <c r="O17" t="s">
        <v>42</v>
      </c>
      <c r="P17">
        <v>0</v>
      </c>
      <c r="Q17">
        <v>0</v>
      </c>
      <c r="R17">
        <v>0</v>
      </c>
      <c r="S17">
        <v>142857</v>
      </c>
      <c r="T17">
        <v>175999824</v>
      </c>
      <c r="U17">
        <v>0</v>
      </c>
      <c r="V17">
        <v>3</v>
      </c>
      <c r="W17" t="s">
        <v>163</v>
      </c>
      <c r="X17">
        <v>1084</v>
      </c>
      <c r="Y17">
        <v>37</v>
      </c>
      <c r="Z17">
        <v>0</v>
      </c>
      <c r="AB17">
        <v>4</v>
      </c>
      <c r="AD17" t="s">
        <v>313</v>
      </c>
      <c r="AE17">
        <v>20</v>
      </c>
      <c r="AF17" s="1">
        <v>45607.652245370373</v>
      </c>
      <c r="AG17">
        <v>0</v>
      </c>
      <c r="AH17">
        <v>6</v>
      </c>
      <c r="AI17">
        <v>0</v>
      </c>
      <c r="AJ17">
        <v>0</v>
      </c>
      <c r="AK17">
        <v>26</v>
      </c>
      <c r="AL17">
        <v>0</v>
      </c>
      <c r="AM17">
        <v>23</v>
      </c>
      <c r="AN17">
        <v>0</v>
      </c>
      <c r="AO17">
        <v>0</v>
      </c>
      <c r="AP17">
        <v>394</v>
      </c>
      <c r="AQ17">
        <v>4</v>
      </c>
      <c r="AR17">
        <v>0</v>
      </c>
      <c r="AS17" t="s">
        <v>291</v>
      </c>
      <c r="AT17" s="47" t="s">
        <v>381</v>
      </c>
      <c r="AU17" s="86" t="s">
        <v>380</v>
      </c>
      <c r="AV17" s="43">
        <v>1232</v>
      </c>
      <c r="AW17" s="86" t="s">
        <v>382</v>
      </c>
      <c r="AX17" s="43">
        <v>330</v>
      </c>
      <c r="AY17" s="43">
        <v>1232</v>
      </c>
      <c r="BD17">
        <v>397</v>
      </c>
      <c r="BE17">
        <v>20</v>
      </c>
      <c r="BF17">
        <v>1111</v>
      </c>
      <c r="BG17">
        <v>331856811</v>
      </c>
      <c r="BH17" s="83">
        <v>45602</v>
      </c>
      <c r="BI17" s="83">
        <v>45615</v>
      </c>
      <c r="BJ17" t="s">
        <v>58</v>
      </c>
      <c r="BK17">
        <v>0</v>
      </c>
    </row>
    <row r="18" spans="3:63" x14ac:dyDescent="0.25">
      <c r="C18" t="s">
        <v>403</v>
      </c>
      <c r="E18" t="s">
        <v>99</v>
      </c>
      <c r="G18" t="s">
        <v>129</v>
      </c>
      <c r="H18" t="s">
        <v>433</v>
      </c>
      <c r="I18" t="s">
        <v>48</v>
      </c>
      <c r="J18" t="s">
        <v>373</v>
      </c>
      <c r="K18" t="s">
        <v>48</v>
      </c>
      <c r="L18" t="s">
        <v>48</v>
      </c>
      <c r="N18">
        <v>4322</v>
      </c>
      <c r="O18" t="s">
        <v>42</v>
      </c>
      <c r="P18">
        <v>0</v>
      </c>
      <c r="Q18">
        <v>0</v>
      </c>
      <c r="R18">
        <v>0</v>
      </c>
      <c r="S18">
        <v>142857</v>
      </c>
      <c r="T18">
        <v>488856654</v>
      </c>
      <c r="U18">
        <v>0</v>
      </c>
      <c r="V18">
        <v>3</v>
      </c>
      <c r="W18" t="s">
        <v>163</v>
      </c>
      <c r="X18">
        <v>1085</v>
      </c>
      <c r="Y18">
        <v>25</v>
      </c>
      <c r="Z18">
        <v>0</v>
      </c>
      <c r="AB18">
        <v>4</v>
      </c>
      <c r="AD18" t="s">
        <v>385</v>
      </c>
      <c r="AE18">
        <v>20</v>
      </c>
      <c r="AF18" s="1">
        <v>45607.652557870373</v>
      </c>
      <c r="AG18">
        <v>0</v>
      </c>
      <c r="AH18">
        <v>5</v>
      </c>
      <c r="AI18">
        <v>0</v>
      </c>
      <c r="AJ18">
        <v>0</v>
      </c>
      <c r="AK18">
        <v>26</v>
      </c>
      <c r="AL18">
        <v>0</v>
      </c>
      <c r="AM18">
        <v>53</v>
      </c>
      <c r="AN18">
        <v>0</v>
      </c>
      <c r="AO18">
        <v>0</v>
      </c>
      <c r="AP18">
        <v>395</v>
      </c>
      <c r="AQ18">
        <v>4</v>
      </c>
      <c r="AR18">
        <v>0</v>
      </c>
      <c r="AS18" t="s">
        <v>291</v>
      </c>
      <c r="AT18" s="47" t="s">
        <v>434</v>
      </c>
      <c r="AU18" s="86" t="s">
        <v>380</v>
      </c>
      <c r="AV18" s="43">
        <v>3422</v>
      </c>
      <c r="AW18" s="86" t="s">
        <v>435</v>
      </c>
      <c r="AX18" s="43">
        <v>329</v>
      </c>
      <c r="AY18" s="43">
        <v>3422</v>
      </c>
      <c r="BD18">
        <v>398</v>
      </c>
      <c r="BE18">
        <v>20</v>
      </c>
      <c r="BF18">
        <v>3792</v>
      </c>
      <c r="BG18">
        <v>460142397</v>
      </c>
      <c r="BH18" s="83">
        <v>45597</v>
      </c>
      <c r="BI18" s="83">
        <v>45604</v>
      </c>
      <c r="BJ18" t="s">
        <v>58</v>
      </c>
      <c r="BK18">
        <v>0</v>
      </c>
    </row>
    <row r="19" spans="3:63" x14ac:dyDescent="0.25">
      <c r="C19" t="s">
        <v>309</v>
      </c>
      <c r="E19" t="s">
        <v>93</v>
      </c>
      <c r="G19" t="s">
        <v>129</v>
      </c>
      <c r="H19" t="s">
        <v>436</v>
      </c>
      <c r="I19" t="s">
        <v>48</v>
      </c>
      <c r="J19" t="s">
        <v>311</v>
      </c>
      <c r="K19" t="s">
        <v>48</v>
      </c>
      <c r="L19" t="s">
        <v>48</v>
      </c>
      <c r="N19">
        <v>2111</v>
      </c>
      <c r="O19" t="s">
        <v>42</v>
      </c>
      <c r="P19">
        <v>0</v>
      </c>
      <c r="Q19">
        <v>0</v>
      </c>
      <c r="R19">
        <v>1212</v>
      </c>
      <c r="S19">
        <v>142857</v>
      </c>
      <c r="T19">
        <v>173142684</v>
      </c>
      <c r="U19">
        <v>0</v>
      </c>
      <c r="V19">
        <v>1</v>
      </c>
      <c r="W19" t="s">
        <v>169</v>
      </c>
      <c r="X19">
        <v>1086</v>
      </c>
      <c r="Y19">
        <v>38</v>
      </c>
      <c r="Z19">
        <v>0</v>
      </c>
      <c r="AB19">
        <v>28</v>
      </c>
      <c r="AD19" t="s">
        <v>308</v>
      </c>
      <c r="AE19">
        <v>20</v>
      </c>
      <c r="AF19" s="1">
        <v>45607.653194444443</v>
      </c>
      <c r="AG19">
        <v>0</v>
      </c>
      <c r="AH19">
        <v>1</v>
      </c>
      <c r="AI19">
        <v>0</v>
      </c>
      <c r="AJ19">
        <v>0</v>
      </c>
      <c r="AK19">
        <v>26</v>
      </c>
      <c r="AL19">
        <v>0</v>
      </c>
      <c r="AM19">
        <v>12</v>
      </c>
      <c r="AN19">
        <v>0</v>
      </c>
      <c r="AO19">
        <v>0</v>
      </c>
      <c r="AP19">
        <v>396</v>
      </c>
      <c r="AQ19">
        <v>28</v>
      </c>
      <c r="AR19">
        <v>0</v>
      </c>
      <c r="AS19" t="s">
        <v>314</v>
      </c>
      <c r="AT19" s="47" t="s">
        <v>437</v>
      </c>
      <c r="AU19" s="86" t="s">
        <v>392</v>
      </c>
      <c r="AV19" s="43">
        <v>0</v>
      </c>
      <c r="AW19" s="86" t="s">
        <v>380</v>
      </c>
      <c r="AX19" s="43">
        <v>271</v>
      </c>
      <c r="AY19" s="43">
        <v>1212</v>
      </c>
    </row>
    <row r="20" spans="3:63" x14ac:dyDescent="0.25">
      <c r="C20" t="s">
        <v>376</v>
      </c>
      <c r="E20" t="s">
        <v>99</v>
      </c>
      <c r="G20" t="s">
        <v>129</v>
      </c>
      <c r="H20" t="s">
        <v>438</v>
      </c>
      <c r="I20" t="s">
        <v>48</v>
      </c>
      <c r="J20" t="s">
        <v>311</v>
      </c>
      <c r="K20" t="s">
        <v>48</v>
      </c>
      <c r="L20" t="s">
        <v>48</v>
      </c>
      <c r="N20">
        <v>2111</v>
      </c>
      <c r="O20" t="s">
        <v>42</v>
      </c>
      <c r="P20">
        <v>0</v>
      </c>
      <c r="Q20">
        <v>0</v>
      </c>
      <c r="R20">
        <v>2323</v>
      </c>
      <c r="S20">
        <v>142857</v>
      </c>
      <c r="T20">
        <v>331856811</v>
      </c>
      <c r="U20">
        <v>0</v>
      </c>
      <c r="V20">
        <v>1</v>
      </c>
      <c r="W20" t="s">
        <v>163</v>
      </c>
      <c r="X20">
        <v>1087</v>
      </c>
      <c r="Y20">
        <v>25</v>
      </c>
      <c r="Z20">
        <v>0</v>
      </c>
      <c r="AB20">
        <v>4</v>
      </c>
      <c r="AD20" t="s">
        <v>385</v>
      </c>
      <c r="AE20">
        <v>20</v>
      </c>
      <c r="AF20" s="1">
        <v>45607.65388888889</v>
      </c>
      <c r="AG20">
        <v>0</v>
      </c>
      <c r="AH20">
        <v>1</v>
      </c>
      <c r="AI20">
        <v>0</v>
      </c>
      <c r="AJ20">
        <v>0</v>
      </c>
      <c r="AK20">
        <v>26</v>
      </c>
      <c r="AL20">
        <v>0</v>
      </c>
      <c r="AM20">
        <v>23</v>
      </c>
      <c r="AN20">
        <v>0</v>
      </c>
      <c r="AO20">
        <v>0</v>
      </c>
      <c r="AP20">
        <v>397</v>
      </c>
      <c r="AQ20">
        <v>4</v>
      </c>
      <c r="AR20">
        <v>0</v>
      </c>
      <c r="AS20" t="s">
        <v>314</v>
      </c>
      <c r="AT20" s="47" t="s">
        <v>439</v>
      </c>
      <c r="AU20" s="86" t="s">
        <v>440</v>
      </c>
      <c r="AV20" s="43">
        <v>0</v>
      </c>
      <c r="AW20" s="86" t="s">
        <v>380</v>
      </c>
      <c r="AX20" s="43">
        <v>325</v>
      </c>
      <c r="AY20" s="43">
        <v>2323</v>
      </c>
    </row>
    <row r="21" spans="3:63" x14ac:dyDescent="0.25">
      <c r="C21" t="s">
        <v>384</v>
      </c>
      <c r="E21" t="s">
        <v>91</v>
      </c>
      <c r="G21" t="s">
        <v>129</v>
      </c>
      <c r="H21" t="s">
        <v>441</v>
      </c>
      <c r="I21" t="s">
        <v>48</v>
      </c>
      <c r="J21" t="s">
        <v>373</v>
      </c>
      <c r="K21" t="s">
        <v>48</v>
      </c>
      <c r="L21" t="s">
        <v>48</v>
      </c>
      <c r="N21">
        <v>12312</v>
      </c>
      <c r="O21" t="s">
        <v>42</v>
      </c>
      <c r="P21">
        <v>0</v>
      </c>
      <c r="Q21">
        <v>0</v>
      </c>
      <c r="R21">
        <v>0</v>
      </c>
      <c r="S21">
        <v>142857</v>
      </c>
      <c r="T21">
        <v>460142397</v>
      </c>
      <c r="U21">
        <v>0</v>
      </c>
      <c r="V21">
        <v>2</v>
      </c>
      <c r="W21" t="s">
        <v>165</v>
      </c>
      <c r="X21">
        <v>1088</v>
      </c>
      <c r="Y21">
        <v>37</v>
      </c>
      <c r="Z21">
        <v>0</v>
      </c>
      <c r="AB21">
        <v>6</v>
      </c>
      <c r="AD21" t="s">
        <v>310</v>
      </c>
      <c r="AE21">
        <v>20</v>
      </c>
      <c r="AF21" s="1">
        <v>45607.718657407408</v>
      </c>
      <c r="AG21">
        <v>0</v>
      </c>
      <c r="AH21">
        <v>5</v>
      </c>
      <c r="AI21">
        <v>0</v>
      </c>
      <c r="AJ21">
        <v>0</v>
      </c>
      <c r="AK21">
        <v>25</v>
      </c>
      <c r="AL21">
        <v>0</v>
      </c>
      <c r="AM21">
        <v>45</v>
      </c>
      <c r="AN21">
        <v>0</v>
      </c>
      <c r="AO21">
        <v>0</v>
      </c>
      <c r="AP21">
        <v>398</v>
      </c>
      <c r="AQ21">
        <v>6</v>
      </c>
      <c r="AR21">
        <v>0</v>
      </c>
      <c r="AS21" t="s">
        <v>291</v>
      </c>
      <c r="AT21" s="47" t="s">
        <v>442</v>
      </c>
      <c r="AU21" s="86" t="s">
        <v>380</v>
      </c>
      <c r="AV21" s="43">
        <v>3221</v>
      </c>
      <c r="AW21" s="86" t="s">
        <v>443</v>
      </c>
      <c r="AX21" s="43">
        <v>311</v>
      </c>
      <c r="AY21" s="43">
        <v>3221</v>
      </c>
    </row>
    <row r="22" spans="3:63" x14ac:dyDescent="0.25">
      <c r="AF22" s="1"/>
      <c r="AU22"/>
      <c r="AV22"/>
      <c r="AW22"/>
      <c r="AX22" s="43"/>
      <c r="AY22"/>
    </row>
  </sheetData>
  <mergeCells count="1">
    <mergeCell ref="B2:D2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D11:AD102"/>
  <sheetViews>
    <sheetView topLeftCell="K1" workbookViewId="0">
      <selection activeCell="P27" sqref="P27"/>
    </sheetView>
  </sheetViews>
  <sheetFormatPr defaultRowHeight="15" x14ac:dyDescent="0.25"/>
  <cols>
    <col min="4" max="4" width="5" customWidth="1"/>
    <col min="5" max="5" width="19.42578125" customWidth="1"/>
    <col min="6" max="7" width="20.42578125" customWidth="1"/>
    <col min="8" max="8" width="17.28515625" customWidth="1"/>
    <col min="9" max="9" width="5" customWidth="1"/>
    <col min="10" max="10" width="20.5703125" customWidth="1"/>
    <col min="11" max="11" width="16.7109375" customWidth="1"/>
    <col min="12" max="12" width="17.140625" customWidth="1"/>
    <col min="13" max="13" width="13.5703125" customWidth="1"/>
    <col min="14" max="14" width="13.28515625" customWidth="1"/>
    <col min="15" max="15" width="9" customWidth="1"/>
    <col min="16" max="16" width="10.7109375" customWidth="1"/>
    <col min="17" max="17" width="22.140625" customWidth="1"/>
    <col min="18" max="18" width="15.85546875" customWidth="1"/>
    <col min="19" max="19" width="5" customWidth="1"/>
    <col min="20" max="20" width="14.140625" customWidth="1"/>
    <col min="21" max="21" width="19.85546875" customWidth="1"/>
    <col min="22" max="22" width="9.5703125" customWidth="1"/>
    <col min="23" max="23" width="17.28515625" customWidth="1"/>
    <col min="24" max="24" width="5" customWidth="1"/>
    <col min="25" max="25" width="13" customWidth="1"/>
    <col min="26" max="26" width="9.7109375" customWidth="1"/>
    <col min="27" max="27" width="14.140625" customWidth="1"/>
    <col min="28" max="29" width="9.5703125" customWidth="1"/>
    <col min="30" max="30" width="12.28515625" customWidth="1"/>
    <col min="31" max="31" width="12.28515625" bestFit="1" customWidth="1"/>
    <col min="32" max="32" width="17.85546875" customWidth="1"/>
    <col min="33" max="33" width="18.85546875" bestFit="1" customWidth="1"/>
    <col min="34" max="34" width="14.140625" customWidth="1"/>
    <col min="35" max="35" width="18.140625" customWidth="1"/>
    <col min="36" max="36" width="21" bestFit="1" customWidth="1"/>
    <col min="37" max="37" width="17.42578125" bestFit="1" customWidth="1"/>
    <col min="38" max="38" width="15.28515625" customWidth="1"/>
    <col min="39" max="39" width="16.42578125" customWidth="1"/>
    <col min="40" max="40" width="18.85546875" bestFit="1" customWidth="1"/>
    <col min="41" max="41" width="10" customWidth="1"/>
    <col min="42" max="42" width="17.42578125" bestFit="1" customWidth="1"/>
    <col min="43" max="43" width="15.140625" bestFit="1" customWidth="1"/>
    <col min="44" max="44" width="15.140625" customWidth="1"/>
    <col min="45" max="45" width="8.85546875" customWidth="1"/>
    <col min="46" max="46" width="13.28515625" customWidth="1"/>
    <col min="47" max="47" width="19" bestFit="1" customWidth="1"/>
    <col min="48" max="48" width="7.5703125" customWidth="1"/>
    <col min="49" max="49" width="12.140625" bestFit="1" customWidth="1"/>
  </cols>
  <sheetData>
    <row r="11" spans="4:30" x14ac:dyDescent="0.25">
      <c r="D11" t="s">
        <v>22</v>
      </c>
      <c r="E11" t="s">
        <v>126</v>
      </c>
      <c r="F11" t="s">
        <v>215</v>
      </c>
      <c r="I11" t="s">
        <v>22</v>
      </c>
      <c r="J11" t="s">
        <v>226</v>
      </c>
      <c r="K11" t="s">
        <v>227</v>
      </c>
      <c r="L11" t="s">
        <v>228</v>
      </c>
      <c r="M11" t="s">
        <v>229</v>
      </c>
      <c r="N11" t="s">
        <v>142</v>
      </c>
      <c r="O11" t="s">
        <v>53</v>
      </c>
      <c r="P11" t="s">
        <v>230</v>
      </c>
      <c r="Q11" t="s">
        <v>231</v>
      </c>
      <c r="S11" t="s">
        <v>22</v>
      </c>
      <c r="T11" t="s">
        <v>32</v>
      </c>
      <c r="U11" t="s">
        <v>276</v>
      </c>
      <c r="X11" t="s">
        <v>22</v>
      </c>
      <c r="Y11" t="s">
        <v>29</v>
      </c>
      <c r="Z11" t="s">
        <v>358</v>
      </c>
      <c r="AA11" t="s">
        <v>32</v>
      </c>
      <c r="AB11" t="s">
        <v>359</v>
      </c>
      <c r="AC11" t="s">
        <v>360</v>
      </c>
      <c r="AD11" t="s">
        <v>362</v>
      </c>
    </row>
    <row r="12" spans="4:30" x14ac:dyDescent="0.25">
      <c r="D12">
        <v>1</v>
      </c>
      <c r="E12" t="s">
        <v>216</v>
      </c>
      <c r="F12" t="s">
        <v>217</v>
      </c>
      <c r="I12">
        <v>40</v>
      </c>
      <c r="J12" t="s">
        <v>232</v>
      </c>
      <c r="K12" t="s">
        <v>48</v>
      </c>
      <c r="L12" t="s">
        <v>48</v>
      </c>
      <c r="M12" t="s">
        <v>48</v>
      </c>
      <c r="N12" t="s">
        <v>145</v>
      </c>
      <c r="O12" t="s">
        <v>58</v>
      </c>
      <c r="P12">
        <v>1</v>
      </c>
      <c r="S12">
        <v>1</v>
      </c>
      <c r="T12">
        <v>1</v>
      </c>
      <c r="U12" t="s">
        <v>268</v>
      </c>
      <c r="X12">
        <v>350</v>
      </c>
      <c r="Y12">
        <v>20</v>
      </c>
      <c r="Z12">
        <v>54</v>
      </c>
      <c r="AA12">
        <v>19</v>
      </c>
      <c r="AB12" s="86" t="s">
        <v>388</v>
      </c>
      <c r="AC12" s="86" t="s">
        <v>392</v>
      </c>
      <c r="AD12">
        <v>9000</v>
      </c>
    </row>
    <row r="13" spans="4:30" x14ac:dyDescent="0.25">
      <c r="D13">
        <v>2</v>
      </c>
      <c r="E13" t="s">
        <v>218</v>
      </c>
      <c r="F13" t="s">
        <v>219</v>
      </c>
      <c r="I13">
        <v>41</v>
      </c>
      <c r="J13" t="s">
        <v>233</v>
      </c>
      <c r="K13" t="s">
        <v>48</v>
      </c>
      <c r="L13" t="s">
        <v>48</v>
      </c>
      <c r="M13" t="s">
        <v>48</v>
      </c>
      <c r="N13" t="s">
        <v>145</v>
      </c>
      <c r="O13" t="s">
        <v>58</v>
      </c>
      <c r="P13">
        <v>1</v>
      </c>
      <c r="S13">
        <v>2</v>
      </c>
      <c r="T13">
        <v>2</v>
      </c>
      <c r="U13" t="s">
        <v>269</v>
      </c>
      <c r="X13">
        <v>351</v>
      </c>
      <c r="Y13">
        <v>20</v>
      </c>
      <c r="Z13">
        <v>54</v>
      </c>
      <c r="AA13">
        <v>20</v>
      </c>
      <c r="AB13" s="86" t="s">
        <v>388</v>
      </c>
      <c r="AC13" s="86" t="s">
        <v>392</v>
      </c>
      <c r="AD13">
        <v>9000</v>
      </c>
    </row>
    <row r="14" spans="4:30" x14ac:dyDescent="0.25">
      <c r="D14">
        <v>3</v>
      </c>
      <c r="E14" t="s">
        <v>220</v>
      </c>
      <c r="F14" t="s">
        <v>221</v>
      </c>
      <c r="I14">
        <v>42</v>
      </c>
      <c r="J14" t="s">
        <v>234</v>
      </c>
      <c r="K14" t="s">
        <v>48</v>
      </c>
      <c r="L14" t="s">
        <v>48</v>
      </c>
      <c r="M14" t="s">
        <v>48</v>
      </c>
      <c r="N14" t="s">
        <v>145</v>
      </c>
      <c r="O14" t="s">
        <v>58</v>
      </c>
      <c r="P14">
        <v>1</v>
      </c>
      <c r="S14">
        <v>3</v>
      </c>
      <c r="T14">
        <v>6</v>
      </c>
      <c r="U14" t="s">
        <v>274</v>
      </c>
      <c r="X14">
        <v>271</v>
      </c>
      <c r="Y14">
        <v>20</v>
      </c>
      <c r="Z14">
        <v>28</v>
      </c>
      <c r="AA14">
        <v>1</v>
      </c>
      <c r="AB14" s="86" t="s">
        <v>388</v>
      </c>
      <c r="AC14" s="86" t="s">
        <v>392</v>
      </c>
      <c r="AD14">
        <v>9000</v>
      </c>
    </row>
    <row r="15" spans="4:30" x14ac:dyDescent="0.25">
      <c r="D15">
        <v>4</v>
      </c>
      <c r="E15" t="s">
        <v>222</v>
      </c>
      <c r="F15" t="s">
        <v>223</v>
      </c>
      <c r="I15">
        <v>43</v>
      </c>
      <c r="J15" t="s">
        <v>235</v>
      </c>
      <c r="K15" t="s">
        <v>48</v>
      </c>
      <c r="L15" t="s">
        <v>48</v>
      </c>
      <c r="M15" t="s">
        <v>48</v>
      </c>
      <c r="N15" t="s">
        <v>145</v>
      </c>
      <c r="O15" t="s">
        <v>58</v>
      </c>
      <c r="P15">
        <v>1</v>
      </c>
      <c r="S15">
        <v>4</v>
      </c>
      <c r="T15">
        <v>6</v>
      </c>
      <c r="U15" t="s">
        <v>277</v>
      </c>
      <c r="X15">
        <v>272</v>
      </c>
      <c r="Y15">
        <v>20</v>
      </c>
      <c r="Z15">
        <v>28</v>
      </c>
      <c r="AA15">
        <v>2</v>
      </c>
      <c r="AB15" s="86" t="s">
        <v>388</v>
      </c>
      <c r="AC15" s="86" t="s">
        <v>392</v>
      </c>
      <c r="AD15">
        <v>9000</v>
      </c>
    </row>
    <row r="16" spans="4:30" x14ac:dyDescent="0.25">
      <c r="D16">
        <v>5</v>
      </c>
      <c r="E16" t="s">
        <v>224</v>
      </c>
      <c r="F16" t="s">
        <v>225</v>
      </c>
      <c r="I16">
        <v>44</v>
      </c>
      <c r="J16" t="s">
        <v>236</v>
      </c>
      <c r="K16" t="s">
        <v>48</v>
      </c>
      <c r="L16" t="s">
        <v>48</v>
      </c>
      <c r="M16" t="s">
        <v>48</v>
      </c>
      <c r="N16" t="s">
        <v>145</v>
      </c>
      <c r="O16" t="s">
        <v>58</v>
      </c>
      <c r="P16">
        <v>1</v>
      </c>
      <c r="S16">
        <v>5</v>
      </c>
      <c r="T16">
        <v>9</v>
      </c>
      <c r="U16" t="s">
        <v>275</v>
      </c>
      <c r="X16">
        <v>273</v>
      </c>
      <c r="Y16">
        <v>20</v>
      </c>
      <c r="Z16">
        <v>28</v>
      </c>
      <c r="AA16">
        <v>3</v>
      </c>
      <c r="AB16" s="86" t="s">
        <v>388</v>
      </c>
      <c r="AC16" s="86" t="s">
        <v>392</v>
      </c>
      <c r="AD16">
        <v>9000</v>
      </c>
    </row>
    <row r="17" spans="9:30" x14ac:dyDescent="0.25">
      <c r="I17">
        <v>45</v>
      </c>
      <c r="J17" t="s">
        <v>237</v>
      </c>
      <c r="K17" t="s">
        <v>48</v>
      </c>
      <c r="L17" t="s">
        <v>48</v>
      </c>
      <c r="M17" t="s">
        <v>48</v>
      </c>
      <c r="N17" t="s">
        <v>145</v>
      </c>
      <c r="O17" t="s">
        <v>58</v>
      </c>
      <c r="P17">
        <v>1</v>
      </c>
      <c r="S17">
        <v>6</v>
      </c>
      <c r="T17">
        <v>9</v>
      </c>
      <c r="U17" t="s">
        <v>278</v>
      </c>
      <c r="X17">
        <v>274</v>
      </c>
      <c r="Y17">
        <v>20</v>
      </c>
      <c r="Z17">
        <v>28</v>
      </c>
      <c r="AA17">
        <v>4</v>
      </c>
      <c r="AB17" s="86" t="s">
        <v>388</v>
      </c>
      <c r="AC17" s="86" t="s">
        <v>392</v>
      </c>
      <c r="AD17">
        <v>9000</v>
      </c>
    </row>
    <row r="18" spans="9:30" x14ac:dyDescent="0.25">
      <c r="I18">
        <v>46</v>
      </c>
      <c r="J18" t="s">
        <v>238</v>
      </c>
      <c r="K18" t="s">
        <v>48</v>
      </c>
      <c r="L18" t="s">
        <v>48</v>
      </c>
      <c r="M18" t="s">
        <v>48</v>
      </c>
      <c r="N18" t="s">
        <v>145</v>
      </c>
      <c r="O18" t="s">
        <v>58</v>
      </c>
      <c r="P18">
        <v>1</v>
      </c>
      <c r="S18">
        <v>7</v>
      </c>
      <c r="T18">
        <v>11</v>
      </c>
      <c r="U18" t="s">
        <v>242</v>
      </c>
      <c r="X18">
        <v>275</v>
      </c>
      <c r="Y18">
        <v>20</v>
      </c>
      <c r="Z18">
        <v>28</v>
      </c>
      <c r="AA18">
        <v>5</v>
      </c>
      <c r="AB18" s="86" t="s">
        <v>388</v>
      </c>
      <c r="AC18" s="86" t="s">
        <v>392</v>
      </c>
      <c r="AD18">
        <v>9000</v>
      </c>
    </row>
    <row r="19" spans="9:30" x14ac:dyDescent="0.25">
      <c r="I19">
        <v>47</v>
      </c>
      <c r="J19" t="s">
        <v>239</v>
      </c>
      <c r="K19" t="s">
        <v>239</v>
      </c>
      <c r="L19" t="s">
        <v>48</v>
      </c>
      <c r="M19" t="s">
        <v>48</v>
      </c>
      <c r="N19" t="s">
        <v>145</v>
      </c>
      <c r="O19" t="s">
        <v>58</v>
      </c>
      <c r="P19">
        <v>1</v>
      </c>
      <c r="S19">
        <v>8</v>
      </c>
      <c r="T19">
        <v>11</v>
      </c>
      <c r="U19" t="s">
        <v>279</v>
      </c>
      <c r="X19">
        <v>276</v>
      </c>
      <c r="Y19">
        <v>20</v>
      </c>
      <c r="Z19">
        <v>28</v>
      </c>
      <c r="AA19">
        <v>6</v>
      </c>
      <c r="AB19" s="86" t="s">
        <v>388</v>
      </c>
      <c r="AC19" s="86" t="s">
        <v>392</v>
      </c>
      <c r="AD19">
        <v>9000</v>
      </c>
    </row>
    <row r="20" spans="9:30" x14ac:dyDescent="0.25">
      <c r="I20">
        <v>49</v>
      </c>
      <c r="J20" t="s">
        <v>240</v>
      </c>
      <c r="K20" t="s">
        <v>48</v>
      </c>
      <c r="L20" t="s">
        <v>48</v>
      </c>
      <c r="M20" t="s">
        <v>48</v>
      </c>
      <c r="N20" t="s">
        <v>145</v>
      </c>
      <c r="O20" t="s">
        <v>58</v>
      </c>
      <c r="P20">
        <v>1</v>
      </c>
      <c r="S20">
        <v>9</v>
      </c>
      <c r="T20">
        <v>11</v>
      </c>
      <c r="U20" t="s">
        <v>280</v>
      </c>
      <c r="X20">
        <v>277</v>
      </c>
      <c r="Y20">
        <v>20</v>
      </c>
      <c r="Z20">
        <v>28</v>
      </c>
      <c r="AA20">
        <v>18</v>
      </c>
      <c r="AB20" s="86" t="s">
        <v>388</v>
      </c>
      <c r="AC20" s="86" t="s">
        <v>392</v>
      </c>
      <c r="AD20">
        <v>9000</v>
      </c>
    </row>
    <row r="21" spans="9:30" x14ac:dyDescent="0.25">
      <c r="I21">
        <v>11</v>
      </c>
      <c r="J21" t="s">
        <v>241</v>
      </c>
      <c r="K21" t="s">
        <v>242</v>
      </c>
      <c r="L21" t="s">
        <v>48</v>
      </c>
      <c r="M21" t="s">
        <v>48</v>
      </c>
      <c r="N21" t="s">
        <v>145</v>
      </c>
      <c r="O21" t="s">
        <v>58</v>
      </c>
      <c r="P21">
        <v>3</v>
      </c>
      <c r="S21">
        <v>10</v>
      </c>
      <c r="T21">
        <v>17</v>
      </c>
      <c r="U21" t="s">
        <v>247</v>
      </c>
      <c r="X21">
        <v>278</v>
      </c>
      <c r="Y21">
        <v>20</v>
      </c>
      <c r="Z21">
        <v>28</v>
      </c>
      <c r="AA21">
        <v>19</v>
      </c>
      <c r="AB21" s="86" t="s">
        <v>388</v>
      </c>
      <c r="AC21" s="86" t="s">
        <v>392</v>
      </c>
      <c r="AD21">
        <v>9000</v>
      </c>
    </row>
    <row r="22" spans="9:30" x14ac:dyDescent="0.25">
      <c r="I22">
        <v>14</v>
      </c>
      <c r="J22" t="s">
        <v>243</v>
      </c>
      <c r="K22" t="s">
        <v>48</v>
      </c>
      <c r="L22" t="s">
        <v>48</v>
      </c>
      <c r="M22" t="s">
        <v>48</v>
      </c>
      <c r="N22" t="s">
        <v>145</v>
      </c>
      <c r="O22" t="s">
        <v>58</v>
      </c>
      <c r="P22">
        <v>3</v>
      </c>
      <c r="S22">
        <v>11</v>
      </c>
      <c r="T22">
        <v>17</v>
      </c>
      <c r="U22" t="s">
        <v>281</v>
      </c>
      <c r="X22">
        <v>279</v>
      </c>
      <c r="Y22">
        <v>20</v>
      </c>
      <c r="Z22">
        <v>28</v>
      </c>
      <c r="AA22">
        <v>20</v>
      </c>
      <c r="AB22" s="86" t="s">
        <v>388</v>
      </c>
      <c r="AC22" s="86" t="s">
        <v>392</v>
      </c>
      <c r="AD22">
        <v>9000</v>
      </c>
    </row>
    <row r="23" spans="9:30" x14ac:dyDescent="0.25">
      <c r="I23">
        <v>15</v>
      </c>
      <c r="J23" t="s">
        <v>244</v>
      </c>
      <c r="K23" t="s">
        <v>48</v>
      </c>
      <c r="L23" t="s">
        <v>48</v>
      </c>
      <c r="M23" t="s">
        <v>48</v>
      </c>
      <c r="N23" t="s">
        <v>145</v>
      </c>
      <c r="O23" t="s">
        <v>58</v>
      </c>
      <c r="P23">
        <v>3</v>
      </c>
      <c r="S23">
        <v>12</v>
      </c>
      <c r="T23">
        <v>17</v>
      </c>
      <c r="U23" t="s">
        <v>282</v>
      </c>
      <c r="X23">
        <v>280</v>
      </c>
      <c r="Y23">
        <v>20</v>
      </c>
      <c r="Z23">
        <v>10</v>
      </c>
      <c r="AA23">
        <v>1</v>
      </c>
      <c r="AB23" s="86" t="s">
        <v>388</v>
      </c>
      <c r="AC23" s="86" t="s">
        <v>392</v>
      </c>
      <c r="AD23">
        <v>9000</v>
      </c>
    </row>
    <row r="24" spans="9:30" x14ac:dyDescent="0.25">
      <c r="I24">
        <v>16</v>
      </c>
      <c r="J24" t="s">
        <v>245</v>
      </c>
      <c r="K24" t="s">
        <v>48</v>
      </c>
      <c r="L24" t="s">
        <v>48</v>
      </c>
      <c r="M24" t="s">
        <v>48</v>
      </c>
      <c r="N24" t="s">
        <v>145</v>
      </c>
      <c r="O24" t="s">
        <v>58</v>
      </c>
      <c r="P24">
        <v>3</v>
      </c>
      <c r="S24">
        <v>13</v>
      </c>
      <c r="T24">
        <v>28</v>
      </c>
      <c r="U24" t="s">
        <v>283</v>
      </c>
      <c r="X24">
        <v>281</v>
      </c>
      <c r="Y24">
        <v>20</v>
      </c>
      <c r="Z24">
        <v>10</v>
      </c>
      <c r="AA24">
        <v>2</v>
      </c>
      <c r="AB24" s="86" t="s">
        <v>388</v>
      </c>
      <c r="AC24" s="86" t="s">
        <v>392</v>
      </c>
      <c r="AD24">
        <v>9000</v>
      </c>
    </row>
    <row r="25" spans="9:30" x14ac:dyDescent="0.25">
      <c r="I25">
        <v>17</v>
      </c>
      <c r="J25" t="s">
        <v>246</v>
      </c>
      <c r="K25" t="s">
        <v>247</v>
      </c>
      <c r="L25" t="s">
        <v>48</v>
      </c>
      <c r="M25" t="s">
        <v>48</v>
      </c>
      <c r="N25" t="s">
        <v>145</v>
      </c>
      <c r="O25" t="s">
        <v>58</v>
      </c>
      <c r="P25">
        <v>3</v>
      </c>
      <c r="S25">
        <v>14</v>
      </c>
      <c r="T25">
        <v>28</v>
      </c>
      <c r="U25" t="s">
        <v>284</v>
      </c>
      <c r="X25">
        <v>282</v>
      </c>
      <c r="Y25">
        <v>20</v>
      </c>
      <c r="Z25">
        <v>10</v>
      </c>
      <c r="AA25">
        <v>3</v>
      </c>
      <c r="AB25" s="86" t="s">
        <v>388</v>
      </c>
      <c r="AC25" s="86" t="s">
        <v>392</v>
      </c>
      <c r="AD25">
        <v>9000</v>
      </c>
    </row>
    <row r="26" spans="9:30" x14ac:dyDescent="0.25">
      <c r="I26">
        <v>20</v>
      </c>
      <c r="J26" t="s">
        <v>248</v>
      </c>
      <c r="K26" t="s">
        <v>48</v>
      </c>
      <c r="L26" t="s">
        <v>48</v>
      </c>
      <c r="M26" t="s">
        <v>48</v>
      </c>
      <c r="N26" t="s">
        <v>145</v>
      </c>
      <c r="O26" t="s">
        <v>58</v>
      </c>
      <c r="P26">
        <v>3</v>
      </c>
      <c r="S26">
        <v>15</v>
      </c>
      <c r="T26">
        <v>47</v>
      </c>
      <c r="U26" t="s">
        <v>285</v>
      </c>
      <c r="X26">
        <v>283</v>
      </c>
      <c r="Y26">
        <v>20</v>
      </c>
      <c r="Z26">
        <v>10</v>
      </c>
      <c r="AA26">
        <v>4</v>
      </c>
      <c r="AB26" s="86" t="s">
        <v>388</v>
      </c>
      <c r="AC26" s="86" t="s">
        <v>392</v>
      </c>
      <c r="AD26">
        <v>9000</v>
      </c>
    </row>
    <row r="27" spans="9:30" x14ac:dyDescent="0.25">
      <c r="I27">
        <v>21</v>
      </c>
      <c r="J27" t="s">
        <v>249</v>
      </c>
      <c r="K27" t="s">
        <v>48</v>
      </c>
      <c r="L27" t="s">
        <v>48</v>
      </c>
      <c r="M27" t="s">
        <v>48</v>
      </c>
      <c r="N27" t="s">
        <v>145</v>
      </c>
      <c r="O27" t="s">
        <v>58</v>
      </c>
      <c r="P27">
        <v>3</v>
      </c>
      <c r="S27">
        <v>16</v>
      </c>
      <c r="T27">
        <v>47</v>
      </c>
      <c r="U27" t="s">
        <v>286</v>
      </c>
      <c r="X27">
        <v>284</v>
      </c>
      <c r="Y27">
        <v>20</v>
      </c>
      <c r="Z27">
        <v>10</v>
      </c>
      <c r="AA27">
        <v>5</v>
      </c>
      <c r="AB27" s="86" t="s">
        <v>388</v>
      </c>
      <c r="AC27" s="86" t="s">
        <v>392</v>
      </c>
      <c r="AD27">
        <v>9000</v>
      </c>
    </row>
    <row r="28" spans="9:30" x14ac:dyDescent="0.25">
      <c r="I28">
        <v>22</v>
      </c>
      <c r="J28" t="s">
        <v>250</v>
      </c>
      <c r="K28" t="s">
        <v>48</v>
      </c>
      <c r="L28" t="s">
        <v>48</v>
      </c>
      <c r="M28" t="s">
        <v>48</v>
      </c>
      <c r="N28" t="s">
        <v>145</v>
      </c>
      <c r="O28" t="s">
        <v>58</v>
      </c>
      <c r="P28">
        <v>3</v>
      </c>
      <c r="S28">
        <v>18</v>
      </c>
      <c r="T28">
        <v>4</v>
      </c>
      <c r="U28" t="s">
        <v>271</v>
      </c>
      <c r="X28">
        <v>285</v>
      </c>
      <c r="Y28">
        <v>20</v>
      </c>
      <c r="Z28">
        <v>10</v>
      </c>
      <c r="AA28">
        <v>6</v>
      </c>
      <c r="AB28" s="86" t="s">
        <v>388</v>
      </c>
      <c r="AC28" s="86" t="s">
        <v>392</v>
      </c>
      <c r="AD28">
        <v>9000</v>
      </c>
    </row>
    <row r="29" spans="9:30" x14ac:dyDescent="0.25">
      <c r="I29">
        <v>23</v>
      </c>
      <c r="J29" t="s">
        <v>251</v>
      </c>
      <c r="K29" t="s">
        <v>48</v>
      </c>
      <c r="L29" t="s">
        <v>48</v>
      </c>
      <c r="M29" t="s">
        <v>48</v>
      </c>
      <c r="N29" t="s">
        <v>145</v>
      </c>
      <c r="O29" t="s">
        <v>58</v>
      </c>
      <c r="P29">
        <v>3</v>
      </c>
      <c r="S29">
        <v>19</v>
      </c>
      <c r="T29">
        <v>5</v>
      </c>
      <c r="U29" t="s">
        <v>272</v>
      </c>
      <c r="X29">
        <v>286</v>
      </c>
      <c r="Y29">
        <v>20</v>
      </c>
      <c r="Z29">
        <v>10</v>
      </c>
      <c r="AA29">
        <v>18</v>
      </c>
      <c r="AB29" s="86" t="s">
        <v>388</v>
      </c>
      <c r="AC29" s="86" t="s">
        <v>392</v>
      </c>
      <c r="AD29">
        <v>9000</v>
      </c>
    </row>
    <row r="30" spans="9:30" x14ac:dyDescent="0.25">
      <c r="I30">
        <v>24</v>
      </c>
      <c r="J30" t="s">
        <v>252</v>
      </c>
      <c r="K30" t="s">
        <v>48</v>
      </c>
      <c r="L30" t="s">
        <v>48</v>
      </c>
      <c r="M30" t="s">
        <v>48</v>
      </c>
      <c r="N30" t="s">
        <v>145</v>
      </c>
      <c r="O30" t="s">
        <v>58</v>
      </c>
      <c r="P30">
        <v>3</v>
      </c>
      <c r="S30">
        <v>20</v>
      </c>
      <c r="T30">
        <v>8</v>
      </c>
      <c r="U30" t="s">
        <v>134</v>
      </c>
      <c r="X30">
        <v>287</v>
      </c>
      <c r="Y30">
        <v>20</v>
      </c>
      <c r="Z30">
        <v>10</v>
      </c>
      <c r="AA30">
        <v>19</v>
      </c>
      <c r="AB30" s="86" t="s">
        <v>388</v>
      </c>
      <c r="AC30" s="86" t="s">
        <v>392</v>
      </c>
      <c r="AD30">
        <v>9000</v>
      </c>
    </row>
    <row r="31" spans="9:30" x14ac:dyDescent="0.25">
      <c r="I31">
        <v>25</v>
      </c>
      <c r="J31" t="s">
        <v>253</v>
      </c>
      <c r="K31" t="s">
        <v>48</v>
      </c>
      <c r="L31" t="s">
        <v>48</v>
      </c>
      <c r="M31" t="s">
        <v>48</v>
      </c>
      <c r="N31" t="s">
        <v>145</v>
      </c>
      <c r="O31" t="s">
        <v>58</v>
      </c>
      <c r="P31">
        <v>3</v>
      </c>
      <c r="S31">
        <v>21</v>
      </c>
      <c r="T31">
        <v>14</v>
      </c>
      <c r="U31" t="s">
        <v>243</v>
      </c>
      <c r="X31">
        <v>288</v>
      </c>
      <c r="Y31">
        <v>20</v>
      </c>
      <c r="Z31">
        <v>10</v>
      </c>
      <c r="AA31">
        <v>20</v>
      </c>
      <c r="AB31" s="86" t="s">
        <v>388</v>
      </c>
      <c r="AC31" s="86" t="s">
        <v>392</v>
      </c>
      <c r="AD31">
        <v>9000</v>
      </c>
    </row>
    <row r="32" spans="9:30" x14ac:dyDescent="0.25">
      <c r="I32">
        <v>26</v>
      </c>
      <c r="J32" t="s">
        <v>254</v>
      </c>
      <c r="K32" t="s">
        <v>48</v>
      </c>
      <c r="L32" t="s">
        <v>48</v>
      </c>
      <c r="M32" t="s">
        <v>48</v>
      </c>
      <c r="N32" t="s">
        <v>145</v>
      </c>
      <c r="O32" t="s">
        <v>58</v>
      </c>
      <c r="P32">
        <v>3</v>
      </c>
      <c r="S32">
        <v>22</v>
      </c>
      <c r="T32">
        <v>15</v>
      </c>
      <c r="U32" t="s">
        <v>244</v>
      </c>
      <c r="X32">
        <v>289</v>
      </c>
      <c r="Y32">
        <v>20</v>
      </c>
      <c r="Z32">
        <v>9</v>
      </c>
      <c r="AA32">
        <v>1</v>
      </c>
      <c r="AB32" s="86" t="s">
        <v>388</v>
      </c>
      <c r="AC32" s="86" t="s">
        <v>392</v>
      </c>
      <c r="AD32">
        <v>9000</v>
      </c>
    </row>
    <row r="33" spans="9:30" x14ac:dyDescent="0.25">
      <c r="I33">
        <v>27</v>
      </c>
      <c r="J33" t="s">
        <v>255</v>
      </c>
      <c r="K33" t="s">
        <v>48</v>
      </c>
      <c r="L33" t="s">
        <v>48</v>
      </c>
      <c r="M33" t="s">
        <v>48</v>
      </c>
      <c r="N33" t="s">
        <v>145</v>
      </c>
      <c r="O33" t="s">
        <v>58</v>
      </c>
      <c r="P33">
        <v>3</v>
      </c>
      <c r="S33">
        <v>23</v>
      </c>
      <c r="T33">
        <v>16</v>
      </c>
      <c r="U33" t="s">
        <v>245</v>
      </c>
      <c r="X33">
        <v>290</v>
      </c>
      <c r="Y33">
        <v>20</v>
      </c>
      <c r="Z33">
        <v>9</v>
      </c>
      <c r="AA33">
        <v>2</v>
      </c>
      <c r="AB33" s="86" t="s">
        <v>388</v>
      </c>
      <c r="AC33" s="86" t="s">
        <v>392</v>
      </c>
      <c r="AD33">
        <v>9000</v>
      </c>
    </row>
    <row r="34" spans="9:30" x14ac:dyDescent="0.25">
      <c r="I34">
        <v>28</v>
      </c>
      <c r="J34" t="s">
        <v>256</v>
      </c>
      <c r="K34" t="s">
        <v>48</v>
      </c>
      <c r="L34" t="s">
        <v>48</v>
      </c>
      <c r="M34" t="s">
        <v>48</v>
      </c>
      <c r="N34" t="s">
        <v>145</v>
      </c>
      <c r="O34" t="s">
        <v>58</v>
      </c>
      <c r="P34">
        <v>2</v>
      </c>
      <c r="S34">
        <v>24</v>
      </c>
      <c r="T34">
        <v>20</v>
      </c>
      <c r="U34" t="s">
        <v>248</v>
      </c>
      <c r="X34">
        <v>291</v>
      </c>
      <c r="Y34">
        <v>20</v>
      </c>
      <c r="Z34">
        <v>9</v>
      </c>
      <c r="AA34">
        <v>3</v>
      </c>
      <c r="AB34" s="86" t="s">
        <v>388</v>
      </c>
      <c r="AC34" s="86" t="s">
        <v>392</v>
      </c>
      <c r="AD34">
        <v>9000</v>
      </c>
    </row>
    <row r="35" spans="9:30" x14ac:dyDescent="0.25">
      <c r="I35">
        <v>30</v>
      </c>
      <c r="J35" t="s">
        <v>257</v>
      </c>
      <c r="K35" t="s">
        <v>48</v>
      </c>
      <c r="L35" t="s">
        <v>48</v>
      </c>
      <c r="M35" t="s">
        <v>48</v>
      </c>
      <c r="N35" t="s">
        <v>145</v>
      </c>
      <c r="O35" t="s">
        <v>58</v>
      </c>
      <c r="P35">
        <v>2</v>
      </c>
      <c r="S35">
        <v>25</v>
      </c>
      <c r="T35">
        <v>21</v>
      </c>
      <c r="U35" t="s">
        <v>249</v>
      </c>
      <c r="X35">
        <v>292</v>
      </c>
      <c r="Y35">
        <v>20</v>
      </c>
      <c r="Z35">
        <v>9</v>
      </c>
      <c r="AA35">
        <v>4</v>
      </c>
      <c r="AB35" s="86" t="s">
        <v>388</v>
      </c>
      <c r="AC35" s="86" t="s">
        <v>392</v>
      </c>
      <c r="AD35">
        <v>9000</v>
      </c>
    </row>
    <row r="36" spans="9:30" x14ac:dyDescent="0.25">
      <c r="I36">
        <v>31</v>
      </c>
      <c r="J36" t="s">
        <v>258</v>
      </c>
      <c r="K36" t="s">
        <v>48</v>
      </c>
      <c r="L36" t="s">
        <v>48</v>
      </c>
      <c r="M36" t="s">
        <v>48</v>
      </c>
      <c r="N36" t="s">
        <v>145</v>
      </c>
      <c r="O36" t="s">
        <v>58</v>
      </c>
      <c r="P36">
        <v>2</v>
      </c>
      <c r="S36">
        <v>26</v>
      </c>
      <c r="T36">
        <v>22</v>
      </c>
      <c r="U36" t="s">
        <v>250</v>
      </c>
      <c r="X36">
        <v>293</v>
      </c>
      <c r="Y36">
        <v>20</v>
      </c>
      <c r="Z36">
        <v>9</v>
      </c>
      <c r="AA36">
        <v>5</v>
      </c>
      <c r="AB36" s="86" t="s">
        <v>388</v>
      </c>
      <c r="AC36" s="86" t="s">
        <v>392</v>
      </c>
      <c r="AD36">
        <v>9000</v>
      </c>
    </row>
    <row r="37" spans="9:30" x14ac:dyDescent="0.25">
      <c r="I37">
        <v>32</v>
      </c>
      <c r="J37" t="s">
        <v>259</v>
      </c>
      <c r="K37" t="s">
        <v>48</v>
      </c>
      <c r="L37" t="s">
        <v>48</v>
      </c>
      <c r="M37" t="s">
        <v>48</v>
      </c>
      <c r="N37" t="s">
        <v>145</v>
      </c>
      <c r="O37" t="s">
        <v>58</v>
      </c>
      <c r="P37">
        <v>2</v>
      </c>
      <c r="S37">
        <v>27</v>
      </c>
      <c r="T37">
        <v>23</v>
      </c>
      <c r="U37" t="s">
        <v>251</v>
      </c>
      <c r="X37">
        <v>294</v>
      </c>
      <c r="Y37">
        <v>20</v>
      </c>
      <c r="Z37">
        <v>9</v>
      </c>
      <c r="AA37">
        <v>6</v>
      </c>
      <c r="AB37" s="86" t="s">
        <v>388</v>
      </c>
      <c r="AC37" s="86" t="s">
        <v>392</v>
      </c>
      <c r="AD37">
        <v>9000</v>
      </c>
    </row>
    <row r="38" spans="9:30" x14ac:dyDescent="0.25">
      <c r="I38">
        <v>33</v>
      </c>
      <c r="J38" t="s">
        <v>260</v>
      </c>
      <c r="K38" t="s">
        <v>48</v>
      </c>
      <c r="L38" t="s">
        <v>48</v>
      </c>
      <c r="M38" t="s">
        <v>48</v>
      </c>
      <c r="N38" t="s">
        <v>145</v>
      </c>
      <c r="O38" t="s">
        <v>58</v>
      </c>
      <c r="P38">
        <v>2</v>
      </c>
      <c r="S38">
        <v>28</v>
      </c>
      <c r="T38">
        <v>24</v>
      </c>
      <c r="U38" t="s">
        <v>252</v>
      </c>
      <c r="X38">
        <v>295</v>
      </c>
      <c r="Y38">
        <v>20</v>
      </c>
      <c r="Z38">
        <v>9</v>
      </c>
      <c r="AA38">
        <v>18</v>
      </c>
      <c r="AB38" s="86" t="s">
        <v>388</v>
      </c>
      <c r="AC38" s="86" t="s">
        <v>392</v>
      </c>
      <c r="AD38">
        <v>9000</v>
      </c>
    </row>
    <row r="39" spans="9:30" x14ac:dyDescent="0.25">
      <c r="I39">
        <v>34</v>
      </c>
      <c r="J39" t="s">
        <v>261</v>
      </c>
      <c r="K39" t="s">
        <v>48</v>
      </c>
      <c r="L39" t="s">
        <v>48</v>
      </c>
      <c r="M39" t="s">
        <v>48</v>
      </c>
      <c r="N39" t="s">
        <v>145</v>
      </c>
      <c r="O39" t="s">
        <v>58</v>
      </c>
      <c r="P39">
        <v>4</v>
      </c>
      <c r="S39">
        <v>29</v>
      </c>
      <c r="T39">
        <v>25</v>
      </c>
      <c r="U39" t="s">
        <v>253</v>
      </c>
      <c r="X39">
        <v>296</v>
      </c>
      <c r="Y39">
        <v>20</v>
      </c>
      <c r="Z39">
        <v>9</v>
      </c>
      <c r="AA39">
        <v>19</v>
      </c>
      <c r="AB39" s="86" t="s">
        <v>388</v>
      </c>
      <c r="AC39" s="86" t="s">
        <v>392</v>
      </c>
      <c r="AD39">
        <v>9000</v>
      </c>
    </row>
    <row r="40" spans="9:30" x14ac:dyDescent="0.25">
      <c r="I40">
        <v>35</v>
      </c>
      <c r="J40" t="s">
        <v>262</v>
      </c>
      <c r="K40" t="s">
        <v>48</v>
      </c>
      <c r="L40" t="s">
        <v>48</v>
      </c>
      <c r="M40" t="s">
        <v>48</v>
      </c>
      <c r="N40" t="s">
        <v>145</v>
      </c>
      <c r="O40" t="s">
        <v>58</v>
      </c>
      <c r="P40">
        <v>4</v>
      </c>
      <c r="S40">
        <v>30</v>
      </c>
      <c r="T40">
        <v>26</v>
      </c>
      <c r="U40" t="s">
        <v>254</v>
      </c>
      <c r="X40">
        <v>297</v>
      </c>
      <c r="Y40">
        <v>20</v>
      </c>
      <c r="Z40">
        <v>9</v>
      </c>
      <c r="AA40">
        <v>20</v>
      </c>
      <c r="AB40" s="86" t="s">
        <v>388</v>
      </c>
      <c r="AC40" s="86" t="s">
        <v>392</v>
      </c>
      <c r="AD40">
        <v>9000</v>
      </c>
    </row>
    <row r="41" spans="9:30" x14ac:dyDescent="0.25">
      <c r="I41">
        <v>36</v>
      </c>
      <c r="J41" t="s">
        <v>263</v>
      </c>
      <c r="K41" t="s">
        <v>48</v>
      </c>
      <c r="L41" t="s">
        <v>48</v>
      </c>
      <c r="M41" t="s">
        <v>48</v>
      </c>
      <c r="N41" t="s">
        <v>145</v>
      </c>
      <c r="O41" t="s">
        <v>58</v>
      </c>
      <c r="P41">
        <v>4</v>
      </c>
      <c r="S41">
        <v>31</v>
      </c>
      <c r="T41">
        <v>27</v>
      </c>
      <c r="U41" t="s">
        <v>255</v>
      </c>
      <c r="X41">
        <v>298</v>
      </c>
      <c r="Y41">
        <v>20</v>
      </c>
      <c r="Z41">
        <v>8</v>
      </c>
      <c r="AA41">
        <v>1</v>
      </c>
      <c r="AB41" s="86" t="s">
        <v>388</v>
      </c>
      <c r="AC41" s="86" t="s">
        <v>392</v>
      </c>
      <c r="AD41">
        <v>9000</v>
      </c>
    </row>
    <row r="42" spans="9:30" x14ac:dyDescent="0.25">
      <c r="I42">
        <v>37</v>
      </c>
      <c r="J42" t="s">
        <v>264</v>
      </c>
      <c r="K42" t="s">
        <v>48</v>
      </c>
      <c r="L42" t="s">
        <v>48</v>
      </c>
      <c r="M42" t="s">
        <v>48</v>
      </c>
      <c r="N42" t="s">
        <v>145</v>
      </c>
      <c r="O42" t="s">
        <v>58</v>
      </c>
      <c r="P42">
        <v>4</v>
      </c>
      <c r="S42">
        <v>32</v>
      </c>
      <c r="T42">
        <v>30</v>
      </c>
      <c r="U42" t="s">
        <v>257</v>
      </c>
      <c r="X42">
        <v>299</v>
      </c>
      <c r="Y42">
        <v>20</v>
      </c>
      <c r="Z42">
        <v>8</v>
      </c>
      <c r="AA42">
        <v>2</v>
      </c>
      <c r="AB42" s="86" t="s">
        <v>388</v>
      </c>
      <c r="AC42" s="86" t="s">
        <v>392</v>
      </c>
      <c r="AD42">
        <v>9000</v>
      </c>
    </row>
    <row r="43" spans="9:30" x14ac:dyDescent="0.25">
      <c r="I43">
        <v>38</v>
      </c>
      <c r="J43" t="s">
        <v>265</v>
      </c>
      <c r="K43" t="s">
        <v>48</v>
      </c>
      <c r="L43" t="s">
        <v>48</v>
      </c>
      <c r="M43" t="s">
        <v>48</v>
      </c>
      <c r="N43" t="s">
        <v>145</v>
      </c>
      <c r="O43" t="s">
        <v>58</v>
      </c>
      <c r="P43">
        <v>4</v>
      </c>
      <c r="S43">
        <v>33</v>
      </c>
      <c r="T43">
        <v>31</v>
      </c>
      <c r="U43" t="s">
        <v>258</v>
      </c>
      <c r="X43">
        <v>300</v>
      </c>
      <c r="Y43">
        <v>20</v>
      </c>
      <c r="Z43">
        <v>8</v>
      </c>
      <c r="AA43">
        <v>3</v>
      </c>
      <c r="AB43" s="86" t="s">
        <v>388</v>
      </c>
      <c r="AC43" s="86" t="s">
        <v>392</v>
      </c>
      <c r="AD43">
        <v>9000</v>
      </c>
    </row>
    <row r="44" spans="9:30" x14ac:dyDescent="0.25">
      <c r="I44">
        <v>39</v>
      </c>
      <c r="J44" t="s">
        <v>266</v>
      </c>
      <c r="K44" t="s">
        <v>48</v>
      </c>
      <c r="L44" t="s">
        <v>48</v>
      </c>
      <c r="M44" t="s">
        <v>48</v>
      </c>
      <c r="N44" t="s">
        <v>145</v>
      </c>
      <c r="O44" t="s">
        <v>58</v>
      </c>
      <c r="P44">
        <v>4</v>
      </c>
      <c r="S44">
        <v>34</v>
      </c>
      <c r="T44">
        <v>32</v>
      </c>
      <c r="U44" t="s">
        <v>259</v>
      </c>
      <c r="X44">
        <v>301</v>
      </c>
      <c r="Y44">
        <v>20</v>
      </c>
      <c r="Z44">
        <v>8</v>
      </c>
      <c r="AA44">
        <v>4</v>
      </c>
      <c r="AB44" s="86" t="s">
        <v>388</v>
      </c>
      <c r="AC44" s="86" t="s">
        <v>392</v>
      </c>
      <c r="AD44">
        <v>9000</v>
      </c>
    </row>
    <row r="45" spans="9:30" x14ac:dyDescent="0.25">
      <c r="I45">
        <v>1</v>
      </c>
      <c r="J45" t="s">
        <v>267</v>
      </c>
      <c r="K45" t="s">
        <v>268</v>
      </c>
      <c r="L45" t="s">
        <v>48</v>
      </c>
      <c r="M45" t="s">
        <v>48</v>
      </c>
      <c r="N45" t="s">
        <v>145</v>
      </c>
      <c r="O45" t="s">
        <v>58</v>
      </c>
      <c r="P45">
        <v>3</v>
      </c>
      <c r="Q45">
        <v>1</v>
      </c>
      <c r="S45">
        <v>35</v>
      </c>
      <c r="T45">
        <v>33</v>
      </c>
      <c r="U45" t="s">
        <v>260</v>
      </c>
      <c r="X45">
        <v>302</v>
      </c>
      <c r="Y45">
        <v>20</v>
      </c>
      <c r="Z45">
        <v>8</v>
      </c>
      <c r="AA45">
        <v>5</v>
      </c>
      <c r="AB45" s="86" t="s">
        <v>388</v>
      </c>
      <c r="AC45" s="86" t="s">
        <v>392</v>
      </c>
      <c r="AD45">
        <v>9000</v>
      </c>
    </row>
    <row r="46" spans="9:30" x14ac:dyDescent="0.25">
      <c r="I46">
        <v>2</v>
      </c>
      <c r="J46" t="s">
        <v>269</v>
      </c>
      <c r="K46" t="s">
        <v>269</v>
      </c>
      <c r="L46" t="s">
        <v>48</v>
      </c>
      <c r="M46" t="s">
        <v>48</v>
      </c>
      <c r="N46" t="s">
        <v>145</v>
      </c>
      <c r="O46" t="s">
        <v>58</v>
      </c>
      <c r="P46">
        <v>3</v>
      </c>
      <c r="Q46">
        <v>1</v>
      </c>
      <c r="S46">
        <v>36</v>
      </c>
      <c r="T46">
        <v>34</v>
      </c>
      <c r="U46" t="s">
        <v>261</v>
      </c>
      <c r="X46">
        <v>303</v>
      </c>
      <c r="Y46">
        <v>20</v>
      </c>
      <c r="Z46">
        <v>8</v>
      </c>
      <c r="AA46">
        <v>6</v>
      </c>
      <c r="AB46" s="86" t="s">
        <v>388</v>
      </c>
      <c r="AC46" s="86" t="s">
        <v>392</v>
      </c>
      <c r="AD46">
        <v>9000</v>
      </c>
    </row>
    <row r="47" spans="9:30" x14ac:dyDescent="0.25">
      <c r="I47">
        <v>4</v>
      </c>
      <c r="J47" t="s">
        <v>271</v>
      </c>
      <c r="K47" t="s">
        <v>48</v>
      </c>
      <c r="L47" t="s">
        <v>48</v>
      </c>
      <c r="M47" t="s">
        <v>48</v>
      </c>
      <c r="N47" t="s">
        <v>145</v>
      </c>
      <c r="O47" t="s">
        <v>58</v>
      </c>
      <c r="P47">
        <v>3</v>
      </c>
      <c r="Q47">
        <v>1</v>
      </c>
      <c r="S47">
        <v>37</v>
      </c>
      <c r="T47">
        <v>35</v>
      </c>
      <c r="U47" t="s">
        <v>262</v>
      </c>
      <c r="X47">
        <v>304</v>
      </c>
      <c r="Y47">
        <v>20</v>
      </c>
      <c r="Z47">
        <v>8</v>
      </c>
      <c r="AA47">
        <v>18</v>
      </c>
      <c r="AB47" s="86" t="s">
        <v>388</v>
      </c>
      <c r="AC47" s="86" t="s">
        <v>392</v>
      </c>
      <c r="AD47">
        <v>9000</v>
      </c>
    </row>
    <row r="48" spans="9:30" x14ac:dyDescent="0.25">
      <c r="I48">
        <v>5</v>
      </c>
      <c r="J48" t="s">
        <v>272</v>
      </c>
      <c r="K48" t="s">
        <v>48</v>
      </c>
      <c r="L48" t="s">
        <v>48</v>
      </c>
      <c r="M48" t="s">
        <v>48</v>
      </c>
      <c r="N48" t="s">
        <v>145</v>
      </c>
      <c r="O48" t="s">
        <v>58</v>
      </c>
      <c r="P48">
        <v>3</v>
      </c>
      <c r="Q48">
        <v>1</v>
      </c>
      <c r="S48">
        <v>38</v>
      </c>
      <c r="T48">
        <v>36</v>
      </c>
      <c r="U48" t="s">
        <v>263</v>
      </c>
      <c r="X48">
        <v>305</v>
      </c>
      <c r="Y48">
        <v>20</v>
      </c>
      <c r="Z48">
        <v>8</v>
      </c>
      <c r="AA48">
        <v>19</v>
      </c>
      <c r="AB48" s="86" t="s">
        <v>388</v>
      </c>
      <c r="AC48" s="86" t="s">
        <v>392</v>
      </c>
      <c r="AD48">
        <v>9000</v>
      </c>
    </row>
    <row r="49" spans="6:30" x14ac:dyDescent="0.25">
      <c r="I49">
        <v>6</v>
      </c>
      <c r="J49" t="s">
        <v>273</v>
      </c>
      <c r="K49" t="s">
        <v>274</v>
      </c>
      <c r="L49" t="s">
        <v>48</v>
      </c>
      <c r="M49" t="s">
        <v>48</v>
      </c>
      <c r="N49" t="s">
        <v>145</v>
      </c>
      <c r="O49" t="s">
        <v>58</v>
      </c>
      <c r="P49">
        <v>3</v>
      </c>
      <c r="Q49">
        <v>1</v>
      </c>
      <c r="S49">
        <v>39</v>
      </c>
      <c r="T49">
        <v>37</v>
      </c>
      <c r="U49" t="s">
        <v>264</v>
      </c>
      <c r="X49">
        <v>306</v>
      </c>
      <c r="Y49">
        <v>20</v>
      </c>
      <c r="Z49">
        <v>8</v>
      </c>
      <c r="AA49">
        <v>20</v>
      </c>
      <c r="AB49" s="86" t="s">
        <v>388</v>
      </c>
      <c r="AC49" s="86" t="s">
        <v>392</v>
      </c>
      <c r="AD49">
        <v>9000</v>
      </c>
    </row>
    <row r="50" spans="6:30" x14ac:dyDescent="0.25">
      <c r="I50">
        <v>8</v>
      </c>
      <c r="J50" t="s">
        <v>134</v>
      </c>
      <c r="K50" t="s">
        <v>48</v>
      </c>
      <c r="L50" t="s">
        <v>48</v>
      </c>
      <c r="M50" t="s">
        <v>48</v>
      </c>
      <c r="N50" t="s">
        <v>145</v>
      </c>
      <c r="O50" t="s">
        <v>58</v>
      </c>
      <c r="P50">
        <v>3</v>
      </c>
      <c r="Q50">
        <v>1</v>
      </c>
      <c r="S50">
        <v>40</v>
      </c>
      <c r="T50">
        <v>38</v>
      </c>
      <c r="U50" t="s">
        <v>265</v>
      </c>
      <c r="X50">
        <v>307</v>
      </c>
      <c r="Y50">
        <v>20</v>
      </c>
      <c r="Z50">
        <v>6</v>
      </c>
      <c r="AA50">
        <v>1</v>
      </c>
      <c r="AB50" s="86" t="s">
        <v>388</v>
      </c>
      <c r="AC50" s="86" t="s">
        <v>392</v>
      </c>
      <c r="AD50">
        <v>9000</v>
      </c>
    </row>
    <row r="51" spans="6:30" x14ac:dyDescent="0.25">
      <c r="I51">
        <v>9</v>
      </c>
      <c r="J51" t="s">
        <v>270</v>
      </c>
      <c r="K51" t="s">
        <v>275</v>
      </c>
      <c r="L51" t="s">
        <v>48</v>
      </c>
      <c r="M51" t="s">
        <v>48</v>
      </c>
      <c r="N51" t="s">
        <v>145</v>
      </c>
      <c r="O51" t="s">
        <v>58</v>
      </c>
      <c r="P51">
        <v>3</v>
      </c>
      <c r="Q51">
        <v>1</v>
      </c>
      <c r="S51">
        <v>41</v>
      </c>
      <c r="T51">
        <v>39</v>
      </c>
      <c r="U51" t="s">
        <v>266</v>
      </c>
      <c r="X51">
        <v>308</v>
      </c>
      <c r="Y51">
        <v>20</v>
      </c>
      <c r="Z51">
        <v>6</v>
      </c>
      <c r="AA51">
        <v>2</v>
      </c>
      <c r="AB51" s="86" t="s">
        <v>388</v>
      </c>
      <c r="AC51" s="86" t="s">
        <v>392</v>
      </c>
      <c r="AD51">
        <v>9000</v>
      </c>
    </row>
    <row r="52" spans="6:30" x14ac:dyDescent="0.25">
      <c r="S52">
        <v>42</v>
      </c>
      <c r="T52">
        <v>40</v>
      </c>
      <c r="U52" t="s">
        <v>232</v>
      </c>
      <c r="X52">
        <v>309</v>
      </c>
      <c r="Y52">
        <v>20</v>
      </c>
      <c r="Z52">
        <v>6</v>
      </c>
      <c r="AA52">
        <v>3</v>
      </c>
      <c r="AB52" s="86" t="s">
        <v>388</v>
      </c>
      <c r="AC52" s="86" t="s">
        <v>392</v>
      </c>
      <c r="AD52">
        <v>9000</v>
      </c>
    </row>
    <row r="53" spans="6:30" x14ac:dyDescent="0.25">
      <c r="S53">
        <v>43</v>
      </c>
      <c r="T53">
        <v>41</v>
      </c>
      <c r="U53" t="s">
        <v>233</v>
      </c>
      <c r="X53">
        <v>310</v>
      </c>
      <c r="Y53">
        <v>20</v>
      </c>
      <c r="Z53">
        <v>6</v>
      </c>
      <c r="AA53">
        <v>4</v>
      </c>
      <c r="AB53" s="86" t="s">
        <v>388</v>
      </c>
      <c r="AC53" s="86" t="s">
        <v>392</v>
      </c>
      <c r="AD53">
        <v>9000</v>
      </c>
    </row>
    <row r="54" spans="6:30" x14ac:dyDescent="0.25">
      <c r="S54">
        <v>44</v>
      </c>
      <c r="T54">
        <v>42</v>
      </c>
      <c r="U54" t="s">
        <v>234</v>
      </c>
      <c r="X54">
        <v>311</v>
      </c>
      <c r="Y54">
        <v>20</v>
      </c>
      <c r="Z54">
        <v>6</v>
      </c>
      <c r="AA54">
        <v>5</v>
      </c>
      <c r="AB54" s="86" t="s">
        <v>388</v>
      </c>
      <c r="AC54" s="86" t="s">
        <v>392</v>
      </c>
      <c r="AD54">
        <v>9000</v>
      </c>
    </row>
    <row r="55" spans="6:30" x14ac:dyDescent="0.25">
      <c r="S55">
        <v>45</v>
      </c>
      <c r="T55">
        <v>43</v>
      </c>
      <c r="U55" t="s">
        <v>235</v>
      </c>
      <c r="X55">
        <v>312</v>
      </c>
      <c r="Y55">
        <v>20</v>
      </c>
      <c r="Z55">
        <v>6</v>
      </c>
      <c r="AA55">
        <v>6</v>
      </c>
      <c r="AB55" s="86" t="s">
        <v>388</v>
      </c>
      <c r="AC55" s="86" t="s">
        <v>392</v>
      </c>
      <c r="AD55">
        <v>9000</v>
      </c>
    </row>
    <row r="56" spans="6:30" x14ac:dyDescent="0.25">
      <c r="S56">
        <v>46</v>
      </c>
      <c r="T56">
        <v>44</v>
      </c>
      <c r="U56" t="s">
        <v>236</v>
      </c>
      <c r="X56">
        <v>313</v>
      </c>
      <c r="Y56">
        <v>20</v>
      </c>
      <c r="Z56">
        <v>6</v>
      </c>
      <c r="AA56">
        <v>18</v>
      </c>
      <c r="AB56" s="86" t="s">
        <v>388</v>
      </c>
      <c r="AC56" s="86" t="s">
        <v>392</v>
      </c>
      <c r="AD56">
        <v>9000</v>
      </c>
    </row>
    <row r="57" spans="6:30" x14ac:dyDescent="0.25">
      <c r="S57">
        <v>47</v>
      </c>
      <c r="T57">
        <v>45</v>
      </c>
      <c r="U57" t="s">
        <v>237</v>
      </c>
      <c r="X57">
        <v>314</v>
      </c>
      <c r="Y57">
        <v>20</v>
      </c>
      <c r="Z57">
        <v>6</v>
      </c>
      <c r="AA57">
        <v>19</v>
      </c>
      <c r="AB57" s="86" t="s">
        <v>388</v>
      </c>
      <c r="AC57" s="86" t="s">
        <v>392</v>
      </c>
      <c r="AD57">
        <v>9000</v>
      </c>
    </row>
    <row r="58" spans="6:30" x14ac:dyDescent="0.25">
      <c r="S58">
        <v>48</v>
      </c>
      <c r="T58">
        <v>46</v>
      </c>
      <c r="U58" t="s">
        <v>238</v>
      </c>
      <c r="X58">
        <v>315</v>
      </c>
      <c r="Y58">
        <v>20</v>
      </c>
      <c r="Z58">
        <v>6</v>
      </c>
      <c r="AA58">
        <v>20</v>
      </c>
      <c r="AB58" s="86" t="s">
        <v>388</v>
      </c>
      <c r="AC58" s="86" t="s">
        <v>392</v>
      </c>
      <c r="AD58">
        <v>9000</v>
      </c>
    </row>
    <row r="59" spans="6:30" x14ac:dyDescent="0.25">
      <c r="S59">
        <v>49</v>
      </c>
      <c r="T59">
        <v>49</v>
      </c>
      <c r="U59" t="s">
        <v>240</v>
      </c>
      <c r="X59">
        <v>316</v>
      </c>
      <c r="Y59">
        <v>20</v>
      </c>
      <c r="Z59">
        <v>5</v>
      </c>
      <c r="AA59">
        <v>1</v>
      </c>
      <c r="AB59" s="86" t="s">
        <v>388</v>
      </c>
      <c r="AC59" s="86" t="s">
        <v>392</v>
      </c>
      <c r="AD59">
        <v>9000</v>
      </c>
    </row>
    <row r="60" spans="6:30" x14ac:dyDescent="0.25">
      <c r="X60">
        <v>317</v>
      </c>
      <c r="Y60">
        <v>20</v>
      </c>
      <c r="Z60">
        <v>5</v>
      </c>
      <c r="AA60">
        <v>2</v>
      </c>
      <c r="AB60" s="86" t="s">
        <v>388</v>
      </c>
      <c r="AC60" s="86" t="s">
        <v>392</v>
      </c>
      <c r="AD60">
        <v>9000</v>
      </c>
    </row>
    <row r="61" spans="6:30" x14ac:dyDescent="0.25">
      <c r="G61" s="42"/>
      <c r="H61" s="43"/>
      <c r="X61">
        <v>318</v>
      </c>
      <c r="Y61">
        <v>20</v>
      </c>
      <c r="Z61">
        <v>5</v>
      </c>
      <c r="AA61">
        <v>3</v>
      </c>
      <c r="AB61" s="86" t="s">
        <v>388</v>
      </c>
      <c r="AC61" s="86" t="s">
        <v>392</v>
      </c>
      <c r="AD61">
        <v>9000</v>
      </c>
    </row>
    <row r="62" spans="6:30" x14ac:dyDescent="0.25">
      <c r="G62" s="42"/>
      <c r="H62" s="43"/>
      <c r="X62">
        <v>319</v>
      </c>
      <c r="Y62">
        <v>20</v>
      </c>
      <c r="Z62">
        <v>5</v>
      </c>
      <c r="AA62">
        <v>4</v>
      </c>
      <c r="AB62" s="86" t="s">
        <v>388</v>
      </c>
      <c r="AC62" s="86" t="s">
        <v>392</v>
      </c>
      <c r="AD62">
        <v>9000</v>
      </c>
    </row>
    <row r="63" spans="6:30" x14ac:dyDescent="0.25">
      <c r="F63" s="42"/>
      <c r="G63" s="42"/>
      <c r="H63" s="43"/>
      <c r="X63">
        <v>320</v>
      </c>
      <c r="Y63">
        <v>20</v>
      </c>
      <c r="Z63">
        <v>5</v>
      </c>
      <c r="AA63">
        <v>5</v>
      </c>
      <c r="AB63" s="86" t="s">
        <v>388</v>
      </c>
      <c r="AC63" s="86" t="s">
        <v>392</v>
      </c>
      <c r="AD63">
        <v>9000</v>
      </c>
    </row>
    <row r="64" spans="6:30" x14ac:dyDescent="0.25">
      <c r="F64" s="42"/>
      <c r="G64" s="42"/>
      <c r="H64" s="43"/>
      <c r="X64">
        <v>321</v>
      </c>
      <c r="Y64">
        <v>20</v>
      </c>
      <c r="Z64">
        <v>5</v>
      </c>
      <c r="AA64">
        <v>6</v>
      </c>
      <c r="AB64" s="86" t="s">
        <v>388</v>
      </c>
      <c r="AC64" s="86" t="s">
        <v>392</v>
      </c>
      <c r="AD64">
        <v>9000</v>
      </c>
    </row>
    <row r="65" spans="6:30" x14ac:dyDescent="0.25">
      <c r="F65" s="42"/>
      <c r="G65" s="42"/>
      <c r="H65" s="43"/>
      <c r="X65">
        <v>322</v>
      </c>
      <c r="Y65">
        <v>20</v>
      </c>
      <c r="Z65">
        <v>5</v>
      </c>
      <c r="AA65">
        <v>18</v>
      </c>
      <c r="AB65" s="86" t="s">
        <v>388</v>
      </c>
      <c r="AC65" s="86" t="s">
        <v>392</v>
      </c>
      <c r="AD65">
        <v>9000</v>
      </c>
    </row>
    <row r="66" spans="6:30" x14ac:dyDescent="0.25">
      <c r="F66" s="42"/>
      <c r="G66" s="42"/>
      <c r="H66" s="43"/>
      <c r="X66">
        <v>323</v>
      </c>
      <c r="Y66">
        <v>20</v>
      </c>
      <c r="Z66">
        <v>5</v>
      </c>
      <c r="AA66">
        <v>19</v>
      </c>
      <c r="AB66" s="86" t="s">
        <v>388</v>
      </c>
      <c r="AC66" s="86" t="s">
        <v>392</v>
      </c>
      <c r="AD66">
        <v>9000</v>
      </c>
    </row>
    <row r="67" spans="6:30" x14ac:dyDescent="0.25">
      <c r="G67" s="42"/>
      <c r="H67" s="43"/>
      <c r="X67">
        <v>324</v>
      </c>
      <c r="Y67">
        <v>20</v>
      </c>
      <c r="Z67">
        <v>5</v>
      </c>
      <c r="AA67">
        <v>20</v>
      </c>
      <c r="AB67" s="86" t="s">
        <v>388</v>
      </c>
      <c r="AC67" s="86" t="s">
        <v>392</v>
      </c>
      <c r="AD67">
        <v>9000</v>
      </c>
    </row>
    <row r="68" spans="6:30" x14ac:dyDescent="0.25">
      <c r="G68" s="42"/>
      <c r="H68" s="43"/>
      <c r="X68">
        <v>325</v>
      </c>
      <c r="Y68">
        <v>20</v>
      </c>
      <c r="Z68">
        <v>4</v>
      </c>
      <c r="AA68">
        <v>1</v>
      </c>
      <c r="AB68" s="86" t="s">
        <v>388</v>
      </c>
      <c r="AC68" s="86" t="s">
        <v>392</v>
      </c>
      <c r="AD68">
        <v>9000</v>
      </c>
    </row>
    <row r="69" spans="6:30" x14ac:dyDescent="0.25">
      <c r="G69" s="42"/>
      <c r="H69" s="43"/>
      <c r="X69">
        <v>326</v>
      </c>
      <c r="Y69">
        <v>20</v>
      </c>
      <c r="Z69">
        <v>4</v>
      </c>
      <c r="AA69">
        <v>2</v>
      </c>
      <c r="AB69" s="86" t="s">
        <v>388</v>
      </c>
      <c r="AC69" s="86" t="s">
        <v>392</v>
      </c>
      <c r="AD69">
        <v>9000</v>
      </c>
    </row>
    <row r="70" spans="6:30" x14ac:dyDescent="0.25">
      <c r="G70" s="42"/>
      <c r="H70" s="43"/>
      <c r="X70">
        <v>327</v>
      </c>
      <c r="Y70">
        <v>20</v>
      </c>
      <c r="Z70">
        <v>4</v>
      </c>
      <c r="AA70">
        <v>3</v>
      </c>
      <c r="AB70" s="86" t="s">
        <v>388</v>
      </c>
      <c r="AC70" s="86" t="s">
        <v>392</v>
      </c>
      <c r="AD70">
        <v>9000</v>
      </c>
    </row>
    <row r="71" spans="6:30" x14ac:dyDescent="0.25">
      <c r="G71" s="42"/>
      <c r="H71" s="43"/>
      <c r="X71">
        <v>328</v>
      </c>
      <c r="Y71">
        <v>20</v>
      </c>
      <c r="Z71">
        <v>4</v>
      </c>
      <c r="AA71">
        <v>4</v>
      </c>
      <c r="AB71" s="86" t="s">
        <v>388</v>
      </c>
      <c r="AC71" s="86" t="s">
        <v>392</v>
      </c>
      <c r="AD71">
        <v>9000</v>
      </c>
    </row>
    <row r="72" spans="6:30" x14ac:dyDescent="0.25">
      <c r="G72" s="42"/>
      <c r="H72" s="43"/>
      <c r="X72">
        <v>329</v>
      </c>
      <c r="Y72">
        <v>20</v>
      </c>
      <c r="Z72">
        <v>4</v>
      </c>
      <c r="AA72">
        <v>5</v>
      </c>
      <c r="AB72" s="86" t="s">
        <v>388</v>
      </c>
      <c r="AC72" s="86" t="s">
        <v>392</v>
      </c>
      <c r="AD72">
        <v>9000</v>
      </c>
    </row>
    <row r="73" spans="6:30" x14ac:dyDescent="0.25">
      <c r="G73" s="42"/>
      <c r="H73" s="43"/>
      <c r="X73">
        <v>330</v>
      </c>
      <c r="Y73">
        <v>20</v>
      </c>
      <c r="Z73">
        <v>4</v>
      </c>
      <c r="AA73">
        <v>6</v>
      </c>
      <c r="AB73" s="86" t="s">
        <v>388</v>
      </c>
      <c r="AC73" s="86" t="s">
        <v>392</v>
      </c>
      <c r="AD73">
        <v>9000</v>
      </c>
    </row>
    <row r="74" spans="6:30" x14ac:dyDescent="0.25">
      <c r="G74" s="42"/>
      <c r="H74" s="43"/>
      <c r="X74">
        <v>331</v>
      </c>
      <c r="Y74">
        <v>20</v>
      </c>
      <c r="Z74">
        <v>4</v>
      </c>
      <c r="AA74">
        <v>18</v>
      </c>
      <c r="AB74" s="86" t="s">
        <v>388</v>
      </c>
      <c r="AC74" s="86" t="s">
        <v>392</v>
      </c>
      <c r="AD74">
        <v>9000</v>
      </c>
    </row>
    <row r="75" spans="6:30" x14ac:dyDescent="0.25">
      <c r="G75" s="42"/>
      <c r="H75" s="43"/>
      <c r="X75">
        <v>332</v>
      </c>
      <c r="Y75">
        <v>20</v>
      </c>
      <c r="Z75">
        <v>4</v>
      </c>
      <c r="AA75">
        <v>19</v>
      </c>
      <c r="AB75" s="86" t="s">
        <v>388</v>
      </c>
      <c r="AC75" s="86" t="s">
        <v>392</v>
      </c>
      <c r="AD75">
        <v>9000</v>
      </c>
    </row>
    <row r="76" spans="6:30" x14ac:dyDescent="0.25">
      <c r="G76" s="42"/>
      <c r="H76" s="43"/>
      <c r="X76">
        <v>333</v>
      </c>
      <c r="Y76">
        <v>20</v>
      </c>
      <c r="Z76">
        <v>4</v>
      </c>
      <c r="AA76">
        <v>20</v>
      </c>
      <c r="AB76" s="86" t="s">
        <v>388</v>
      </c>
      <c r="AC76" s="86" t="s">
        <v>392</v>
      </c>
      <c r="AD76">
        <v>9000</v>
      </c>
    </row>
    <row r="77" spans="6:30" x14ac:dyDescent="0.25">
      <c r="G77" s="42"/>
      <c r="H77" s="43"/>
      <c r="X77">
        <v>334</v>
      </c>
      <c r="Y77">
        <v>20</v>
      </c>
      <c r="Z77">
        <v>3</v>
      </c>
      <c r="AA77">
        <v>1</v>
      </c>
      <c r="AB77" s="86" t="s">
        <v>388</v>
      </c>
      <c r="AC77" s="86" t="s">
        <v>392</v>
      </c>
      <c r="AD77">
        <v>9000</v>
      </c>
    </row>
    <row r="78" spans="6:30" x14ac:dyDescent="0.25">
      <c r="G78" s="42"/>
      <c r="H78" s="43"/>
      <c r="X78">
        <v>335</v>
      </c>
      <c r="Y78">
        <v>20</v>
      </c>
      <c r="Z78">
        <v>3</v>
      </c>
      <c r="AA78">
        <v>2</v>
      </c>
      <c r="AB78" s="86" t="s">
        <v>388</v>
      </c>
      <c r="AC78" s="86" t="s">
        <v>392</v>
      </c>
      <c r="AD78">
        <v>9000</v>
      </c>
    </row>
    <row r="79" spans="6:30" x14ac:dyDescent="0.25">
      <c r="G79" s="42"/>
      <c r="H79" s="43"/>
      <c r="X79">
        <v>336</v>
      </c>
      <c r="Y79">
        <v>20</v>
      </c>
      <c r="Z79">
        <v>3</v>
      </c>
      <c r="AA79">
        <v>3</v>
      </c>
      <c r="AB79" s="86" t="s">
        <v>388</v>
      </c>
      <c r="AC79" s="86" t="s">
        <v>392</v>
      </c>
      <c r="AD79">
        <v>9000</v>
      </c>
    </row>
    <row r="80" spans="6:30" x14ac:dyDescent="0.25">
      <c r="G80" s="42"/>
      <c r="H80" s="43"/>
      <c r="X80">
        <v>337</v>
      </c>
      <c r="Y80">
        <v>20</v>
      </c>
      <c r="Z80">
        <v>3</v>
      </c>
      <c r="AA80">
        <v>4</v>
      </c>
      <c r="AB80" s="86" t="s">
        <v>388</v>
      </c>
      <c r="AC80" s="86" t="s">
        <v>392</v>
      </c>
      <c r="AD80">
        <v>9000</v>
      </c>
    </row>
    <row r="81" spans="7:30" x14ac:dyDescent="0.25">
      <c r="G81" s="42"/>
      <c r="H81" s="43"/>
      <c r="X81">
        <v>338</v>
      </c>
      <c r="Y81">
        <v>20</v>
      </c>
      <c r="Z81">
        <v>3</v>
      </c>
      <c r="AA81">
        <v>5</v>
      </c>
      <c r="AB81" s="86" t="s">
        <v>388</v>
      </c>
      <c r="AC81" s="86" t="s">
        <v>392</v>
      </c>
      <c r="AD81">
        <v>9000</v>
      </c>
    </row>
    <row r="82" spans="7:30" x14ac:dyDescent="0.25">
      <c r="G82" s="42"/>
      <c r="H82" s="43"/>
      <c r="X82">
        <v>339</v>
      </c>
      <c r="Y82">
        <v>20</v>
      </c>
      <c r="Z82">
        <v>3</v>
      </c>
      <c r="AA82">
        <v>6</v>
      </c>
      <c r="AB82" s="86" t="s">
        <v>388</v>
      </c>
      <c r="AC82" s="86" t="s">
        <v>392</v>
      </c>
      <c r="AD82">
        <v>9000</v>
      </c>
    </row>
    <row r="83" spans="7:30" x14ac:dyDescent="0.25">
      <c r="G83" s="42"/>
      <c r="H83" s="43"/>
      <c r="X83">
        <v>340</v>
      </c>
      <c r="Y83">
        <v>20</v>
      </c>
      <c r="Z83">
        <v>3</v>
      </c>
      <c r="AA83">
        <v>18</v>
      </c>
      <c r="AB83" s="86" t="s">
        <v>388</v>
      </c>
      <c r="AC83" s="86" t="s">
        <v>392</v>
      </c>
      <c r="AD83">
        <v>9000</v>
      </c>
    </row>
    <row r="84" spans="7:30" x14ac:dyDescent="0.25">
      <c r="G84" s="42"/>
      <c r="H84" s="43"/>
      <c r="X84">
        <v>341</v>
      </c>
      <c r="Y84">
        <v>20</v>
      </c>
      <c r="Z84">
        <v>3</v>
      </c>
      <c r="AA84">
        <v>19</v>
      </c>
      <c r="AB84" s="86" t="s">
        <v>388</v>
      </c>
      <c r="AC84" s="86" t="s">
        <v>392</v>
      </c>
      <c r="AD84">
        <v>9000</v>
      </c>
    </row>
    <row r="85" spans="7:30" x14ac:dyDescent="0.25">
      <c r="G85" s="42"/>
      <c r="H85" s="43"/>
      <c r="X85">
        <v>342</v>
      </c>
      <c r="Y85">
        <v>20</v>
      </c>
      <c r="Z85">
        <v>3</v>
      </c>
      <c r="AA85">
        <v>20</v>
      </c>
      <c r="AB85" s="86" t="s">
        <v>388</v>
      </c>
      <c r="AC85" s="86" t="s">
        <v>392</v>
      </c>
      <c r="AD85">
        <v>9000</v>
      </c>
    </row>
    <row r="86" spans="7:30" x14ac:dyDescent="0.25">
      <c r="G86" s="42"/>
      <c r="H86" s="43"/>
      <c r="X86">
        <v>343</v>
      </c>
      <c r="Y86">
        <v>20</v>
      </c>
      <c r="Z86">
        <v>54</v>
      </c>
      <c r="AA86">
        <v>1</v>
      </c>
      <c r="AB86" s="86" t="s">
        <v>388</v>
      </c>
      <c r="AC86" s="86" t="s">
        <v>392</v>
      </c>
      <c r="AD86">
        <v>9000</v>
      </c>
    </row>
    <row r="87" spans="7:30" x14ac:dyDescent="0.25">
      <c r="G87" s="42"/>
      <c r="H87" s="43"/>
      <c r="X87">
        <v>344</v>
      </c>
      <c r="Y87">
        <v>20</v>
      </c>
      <c r="Z87">
        <v>54</v>
      </c>
      <c r="AA87">
        <v>2</v>
      </c>
      <c r="AB87" s="86" t="s">
        <v>388</v>
      </c>
      <c r="AC87" s="86" t="s">
        <v>392</v>
      </c>
      <c r="AD87">
        <v>9000</v>
      </c>
    </row>
    <row r="88" spans="7:30" x14ac:dyDescent="0.25">
      <c r="G88" s="42"/>
      <c r="H88" s="43"/>
      <c r="X88">
        <v>345</v>
      </c>
      <c r="Y88">
        <v>20</v>
      </c>
      <c r="Z88">
        <v>54</v>
      </c>
      <c r="AA88">
        <v>3</v>
      </c>
      <c r="AB88" s="86" t="s">
        <v>388</v>
      </c>
      <c r="AC88" s="86" t="s">
        <v>392</v>
      </c>
      <c r="AD88">
        <v>9000</v>
      </c>
    </row>
    <row r="89" spans="7:30" x14ac:dyDescent="0.25">
      <c r="G89" s="42"/>
      <c r="H89" s="43"/>
      <c r="X89">
        <v>346</v>
      </c>
      <c r="Y89">
        <v>20</v>
      </c>
      <c r="Z89">
        <v>54</v>
      </c>
      <c r="AA89">
        <v>4</v>
      </c>
      <c r="AB89" s="86" t="s">
        <v>388</v>
      </c>
      <c r="AC89" s="86" t="s">
        <v>392</v>
      </c>
      <c r="AD89">
        <v>9000</v>
      </c>
    </row>
    <row r="90" spans="7:30" x14ac:dyDescent="0.25">
      <c r="G90" s="42"/>
      <c r="H90" s="43"/>
      <c r="X90">
        <v>347</v>
      </c>
      <c r="Y90">
        <v>20</v>
      </c>
      <c r="Z90">
        <v>54</v>
      </c>
      <c r="AA90">
        <v>5</v>
      </c>
      <c r="AB90" s="86" t="s">
        <v>388</v>
      </c>
      <c r="AC90" s="86" t="s">
        <v>392</v>
      </c>
      <c r="AD90">
        <v>9000</v>
      </c>
    </row>
    <row r="91" spans="7:30" x14ac:dyDescent="0.25">
      <c r="G91" s="42"/>
      <c r="H91" s="43"/>
      <c r="X91">
        <v>348</v>
      </c>
      <c r="Y91">
        <v>20</v>
      </c>
      <c r="Z91">
        <v>54</v>
      </c>
      <c r="AA91">
        <v>6</v>
      </c>
      <c r="AB91" s="86" t="s">
        <v>388</v>
      </c>
      <c r="AC91" s="86" t="s">
        <v>392</v>
      </c>
      <c r="AD91">
        <v>9000</v>
      </c>
    </row>
    <row r="92" spans="7:30" x14ac:dyDescent="0.25">
      <c r="G92" s="42"/>
      <c r="H92" s="43"/>
      <c r="X92">
        <v>349</v>
      </c>
      <c r="Y92">
        <v>20</v>
      </c>
      <c r="Z92">
        <v>54</v>
      </c>
      <c r="AA92">
        <v>18</v>
      </c>
      <c r="AB92" s="86" t="s">
        <v>388</v>
      </c>
      <c r="AC92" s="86" t="s">
        <v>392</v>
      </c>
      <c r="AD92">
        <v>9000</v>
      </c>
    </row>
    <row r="93" spans="7:30" x14ac:dyDescent="0.25">
      <c r="G93" s="42"/>
      <c r="H93" s="43"/>
    </row>
    <row r="94" spans="7:30" x14ac:dyDescent="0.25">
      <c r="G94" s="42"/>
      <c r="H94" s="43"/>
    </row>
    <row r="95" spans="7:30" x14ac:dyDescent="0.25">
      <c r="G95" s="42"/>
      <c r="H95" s="43"/>
    </row>
    <row r="96" spans="7:30" x14ac:dyDescent="0.25">
      <c r="G96" s="42"/>
      <c r="H96" s="43"/>
    </row>
    <row r="97" spans="7:8" x14ac:dyDescent="0.25">
      <c r="G97" s="42"/>
      <c r="H97" s="43"/>
    </row>
    <row r="98" spans="7:8" x14ac:dyDescent="0.25">
      <c r="G98" s="42"/>
      <c r="H98" s="43"/>
    </row>
    <row r="99" spans="7:8" x14ac:dyDescent="0.25">
      <c r="G99" s="42"/>
      <c r="H99" s="43"/>
    </row>
    <row r="100" spans="7:8" x14ac:dyDescent="0.25">
      <c r="G100" s="42"/>
      <c r="H100" s="43"/>
    </row>
    <row r="101" spans="7:8" x14ac:dyDescent="0.25">
      <c r="G101" s="42"/>
      <c r="H101" s="43"/>
    </row>
    <row r="102" spans="7:8" x14ac:dyDescent="0.25">
      <c r="G102" s="42"/>
      <c r="H102" s="43"/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N84"/>
  <sheetViews>
    <sheetView zoomScaleNormal="100" workbookViewId="0">
      <pane xSplit="7" topLeftCell="U1" activePane="topRight" state="frozen"/>
      <selection activeCell="E1" sqref="E1"/>
      <selection pane="topRight" activeCell="AD22" sqref="AD22"/>
    </sheetView>
  </sheetViews>
  <sheetFormatPr defaultRowHeight="15" x14ac:dyDescent="0.25"/>
  <cols>
    <col min="1" max="1" width="26.42578125" style="9" hidden="1" customWidth="1"/>
    <col min="2" max="2" width="21.140625" style="7" customWidth="1"/>
    <col min="3" max="3" width="10.28515625" hidden="1" customWidth="1"/>
    <col min="4" max="4" width="12.28515625" hidden="1" customWidth="1"/>
    <col min="5" max="5" width="9.140625" customWidth="1"/>
    <col min="6" max="6" width="9.140625" style="11"/>
    <col min="7" max="7" width="30.42578125" customWidth="1"/>
    <col min="8" max="8" width="21.28515625" customWidth="1"/>
    <col min="9" max="9" width="12.28515625" customWidth="1"/>
    <col min="10" max="10" width="12.85546875" customWidth="1"/>
    <col min="11" max="11" width="14.7109375" customWidth="1"/>
    <col min="12" max="12" width="10.85546875" customWidth="1"/>
    <col min="13" max="13" width="9.7109375" customWidth="1"/>
    <col min="14" max="14" width="14.140625" customWidth="1"/>
    <col min="15" max="15" width="10.7109375" customWidth="1"/>
    <col min="16" max="16" width="10.42578125" customWidth="1"/>
    <col min="17" max="17" width="13" customWidth="1"/>
    <col min="18" max="18" width="12.28515625" customWidth="1"/>
    <col min="19" max="19" width="11.28515625" customWidth="1"/>
    <col min="20" max="20" width="9.140625" customWidth="1"/>
    <col min="21" max="21" width="23.28515625" customWidth="1"/>
    <col min="22" max="22" width="8.85546875" customWidth="1"/>
    <col min="23" max="23" width="11.28515625" customWidth="1"/>
    <col min="24" max="24" width="9.85546875" customWidth="1"/>
    <col min="25" max="25" width="13.140625" customWidth="1"/>
    <col min="26" max="26" width="14.28515625" customWidth="1"/>
    <col min="27" max="27" width="13.28515625" customWidth="1"/>
    <col min="28" max="28" width="13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66" x14ac:dyDescent="0.25">
      <c r="A1" s="6"/>
      <c r="C1" s="6"/>
      <c r="D1" s="6"/>
      <c r="E1" s="6"/>
      <c r="F1" s="12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5"/>
      <c r="V1" s="5"/>
      <c r="W1" s="5"/>
      <c r="X1" s="5"/>
      <c r="Y1" s="5"/>
      <c r="Z1" s="5"/>
      <c r="AA1" s="5"/>
    </row>
    <row r="2" spans="1:66" x14ac:dyDescent="0.25">
      <c r="A2" s="6"/>
      <c r="C2" s="6"/>
      <c r="D2" s="6"/>
      <c r="E2" s="6"/>
      <c r="F2" s="12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5"/>
      <c r="V2" s="5"/>
      <c r="W2" s="5"/>
      <c r="X2" s="5"/>
      <c r="Y2" s="5"/>
      <c r="Z2" s="5"/>
      <c r="AA2" s="5"/>
    </row>
    <row r="3" spans="1:66" x14ac:dyDescent="0.25">
      <c r="A3" s="39"/>
      <c r="B3" s="40"/>
      <c r="C3" s="39"/>
      <c r="D3" s="39"/>
      <c r="E3" s="39"/>
      <c r="F3" s="40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5"/>
      <c r="V3" s="5"/>
      <c r="W3" s="5"/>
      <c r="X3" s="5"/>
      <c r="Y3" s="5"/>
      <c r="Z3" s="5"/>
      <c r="AA3" s="5"/>
    </row>
    <row r="4" spans="1:66" x14ac:dyDescent="0.25">
      <c r="A4" s="39"/>
      <c r="B4" s="40"/>
      <c r="C4" s="39"/>
      <c r="D4" s="39"/>
      <c r="E4" s="39"/>
      <c r="F4" s="40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5"/>
      <c r="V4" s="5"/>
      <c r="W4" s="5"/>
      <c r="X4" s="5"/>
      <c r="Y4" s="5"/>
      <c r="Z4" s="5"/>
      <c r="AA4" s="5"/>
    </row>
    <row r="5" spans="1:66" x14ac:dyDescent="0.25">
      <c r="A5" s="39"/>
      <c r="B5" s="40"/>
      <c r="C5" s="39"/>
      <c r="D5" s="39"/>
      <c r="E5" s="39"/>
      <c r="F5" s="40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5"/>
      <c r="V5" s="5"/>
      <c r="W5" s="5"/>
      <c r="X5" s="5"/>
      <c r="Y5" s="5"/>
      <c r="Z5" s="5"/>
      <c r="AA5" s="5"/>
    </row>
    <row r="6" spans="1:66" ht="15.75" x14ac:dyDescent="0.25">
      <c r="C6" s="5"/>
      <c r="D6" s="5"/>
      <c r="E6" s="5"/>
      <c r="F6" s="133" t="s">
        <v>203</v>
      </c>
      <c r="G6" s="133" t="s">
        <v>202</v>
      </c>
      <c r="H6" s="41" t="str">
        <f>IF(H10="",$F$6, IF(ISNUMBER(SEARCH("Sum", H10)), "Tổng", H10))</f>
        <v>Tồn đầu kỳ</v>
      </c>
      <c r="I6" s="41" t="str">
        <f t="shared" ref="I6:AE6" si="0">IF(I10="",$F$6, IF(ISNUMBER(SEARCH("Sum", I10)), "Tổng", I10))</f>
        <v>Tồn đầu kỳ</v>
      </c>
      <c r="J6" s="41" t="str">
        <f t="shared" si="0"/>
        <v>Tổng</v>
      </c>
      <c r="K6" s="41" t="str">
        <f t="shared" si="0"/>
        <v>Nhập</v>
      </c>
      <c r="L6" s="41" t="str">
        <f t="shared" si="0"/>
        <v>Nhập</v>
      </c>
      <c r="M6" s="41" t="str">
        <f t="shared" si="0"/>
        <v>Nhập</v>
      </c>
      <c r="N6" s="41" t="str">
        <f t="shared" si="0"/>
        <v>Nhập</v>
      </c>
      <c r="O6" s="41" t="str">
        <f t="shared" si="0"/>
        <v>Nhập</v>
      </c>
      <c r="P6" s="41" t="str">
        <f t="shared" si="0"/>
        <v>Tổng</v>
      </c>
      <c r="Q6" s="41" t="str">
        <f t="shared" si="0"/>
        <v>Xuất</v>
      </c>
      <c r="R6" s="41" t="str">
        <f t="shared" si="0"/>
        <v>Xuất</v>
      </c>
      <c r="S6" s="41" t="str">
        <f t="shared" si="0"/>
        <v>Xuất</v>
      </c>
      <c r="T6" s="41" t="str">
        <f t="shared" si="0"/>
        <v>Xuất</v>
      </c>
      <c r="U6" s="41" t="str">
        <f t="shared" si="0"/>
        <v>Xuất</v>
      </c>
      <c r="V6" s="41" t="str">
        <f t="shared" si="0"/>
        <v>Xuất</v>
      </c>
      <c r="W6" s="41" t="str">
        <f t="shared" si="0"/>
        <v>Xuất</v>
      </c>
      <c r="X6" s="41" t="str">
        <f t="shared" si="0"/>
        <v>Xuất</v>
      </c>
      <c r="Y6" s="41" t="str">
        <f t="shared" si="0"/>
        <v>Xuất</v>
      </c>
      <c r="Z6" s="41" t="str">
        <f t="shared" si="0"/>
        <v>Tổng</v>
      </c>
      <c r="AA6" s="41" t="str">
        <f t="shared" si="0"/>
        <v>Tồn cuối kỳ</v>
      </c>
      <c r="AB6" s="41" t="str">
        <f t="shared" si="0"/>
        <v>Tồn cuối kỳ</v>
      </c>
      <c r="AC6" s="41" t="str">
        <f t="shared" si="0"/>
        <v>Tổng</v>
      </c>
      <c r="AD6" s="41" t="str">
        <f t="shared" si="0"/>
        <v>TT</v>
      </c>
      <c r="AE6" s="41" t="str">
        <f t="shared" si="0"/>
        <v>TT</v>
      </c>
    </row>
    <row r="7" spans="1:66" ht="15.75" customHeight="1" x14ac:dyDescent="0.25">
      <c r="C7" s="5"/>
      <c r="D7" s="5"/>
      <c r="E7" s="5"/>
      <c r="F7" s="133"/>
      <c r="G7" s="133"/>
      <c r="H7" s="41" t="str">
        <f t="shared" ref="H7:AE7" si="1">IF(H11="",$F$6, IF(ISNUMBER(SEARCH("Sum", H11)), "Tổng", H11))</f>
        <v>DT cho NV đột xuất</v>
      </c>
      <c r="I7" s="41" t="str">
        <f t="shared" si="1"/>
        <v>DT SSCD</v>
      </c>
      <c r="J7" s="41" t="str">
        <f t="shared" si="1"/>
        <v>TT</v>
      </c>
      <c r="K7" s="41" t="str">
        <f t="shared" si="1"/>
        <v>Nhập khác</v>
      </c>
      <c r="L7" s="41" t="str">
        <f t="shared" si="1"/>
        <v>CXD</v>
      </c>
      <c r="M7" s="41" t="str">
        <f t="shared" si="1"/>
        <v>QC</v>
      </c>
      <c r="N7" s="41" t="str">
        <f t="shared" si="1"/>
        <v>Mua P/cấp</v>
      </c>
      <c r="O7" s="41" t="str">
        <f t="shared" si="1"/>
        <v>Khác</v>
      </c>
      <c r="P7" s="41" t="str">
        <f t="shared" si="1"/>
        <v>TT</v>
      </c>
      <c r="Q7" s="41" t="str">
        <f t="shared" si="1"/>
        <v>Xuất khác</v>
      </c>
      <c r="R7" s="41" t="str">
        <f t="shared" si="1"/>
        <v>Nhập khác</v>
      </c>
      <c r="S7" s="41" t="str">
        <f t="shared" si="1"/>
        <v>CXD</v>
      </c>
      <c r="T7" s="41" t="str">
        <f t="shared" si="1"/>
        <v>Khác</v>
      </c>
      <c r="U7" s="41" t="str">
        <f t="shared" si="1"/>
        <v>TT Xe máy</v>
      </c>
      <c r="V7" s="41" t="str">
        <f t="shared" si="1"/>
        <v>BQ</v>
      </c>
      <c r="W7" s="41" t="str">
        <f t="shared" si="1"/>
        <v>Hao hụt</v>
      </c>
      <c r="X7" s="41" t="str">
        <f t="shared" si="1"/>
        <v>Tổn thất</v>
      </c>
      <c r="Y7" s="41" t="str">
        <f t="shared" si="1"/>
        <v>f nội bộ</v>
      </c>
      <c r="Z7" s="41" t="str">
        <f t="shared" si="1"/>
        <v>TT</v>
      </c>
      <c r="AA7" s="41" t="str">
        <f t="shared" si="1"/>
        <v>DT cho NV đột xuất</v>
      </c>
      <c r="AB7" s="41" t="str">
        <f t="shared" si="1"/>
        <v>DT SSCD</v>
      </c>
      <c r="AC7" s="41" t="str">
        <f t="shared" si="1"/>
        <v>TT</v>
      </c>
      <c r="AD7" s="41" t="str">
        <f t="shared" si="1"/>
        <v>TT</v>
      </c>
      <c r="AE7" s="41" t="str">
        <f t="shared" si="1"/>
        <v>TT</v>
      </c>
    </row>
    <row r="8" spans="1:66" ht="15.75" x14ac:dyDescent="0.25">
      <c r="C8" s="5"/>
      <c r="D8" s="5"/>
      <c r="E8" s="5"/>
      <c r="F8" s="133"/>
      <c r="G8" s="133"/>
      <c r="H8" s="41" t="str">
        <f t="shared" ref="H8:AE8" si="2">IF(H12="",$F$6, IF(ISNUMBER(SEARCH("Sum", H12)), "Tổng", H12))</f>
        <v>DT cho NV đột xuất</v>
      </c>
      <c r="I8" s="41" t="str">
        <f t="shared" si="2"/>
        <v>DT SSCD</v>
      </c>
      <c r="J8" s="41" t="str">
        <f t="shared" si="2"/>
        <v>TT</v>
      </c>
      <c r="K8" s="41" t="str">
        <f t="shared" si="2"/>
        <v>Trong QC</v>
      </c>
      <c r="L8" s="41" t="str">
        <f t="shared" si="2"/>
        <v>CXD</v>
      </c>
      <c r="M8" s="41" t="str">
        <f t="shared" si="2"/>
        <v>QC</v>
      </c>
      <c r="N8" s="41" t="str">
        <f t="shared" si="2"/>
        <v>Mua P/cấp</v>
      </c>
      <c r="O8" s="41" t="str">
        <f t="shared" si="2"/>
        <v>Khác</v>
      </c>
      <c r="P8" s="41" t="str">
        <f t="shared" si="2"/>
        <v>TT</v>
      </c>
      <c r="Q8" s="41" t="str">
        <f t="shared" si="2"/>
        <v>Ngoài QC</v>
      </c>
      <c r="R8" s="41" t="str">
        <f t="shared" si="2"/>
        <v>Trong QC</v>
      </c>
      <c r="S8" s="41" t="str">
        <f t="shared" si="2"/>
        <v>CXD</v>
      </c>
      <c r="T8" s="41" t="str">
        <f t="shared" si="2"/>
        <v>Khác</v>
      </c>
      <c r="U8" s="41" t="str">
        <f t="shared" si="2"/>
        <v>TT Xe máy</v>
      </c>
      <c r="V8" s="41" t="str">
        <f t="shared" si="2"/>
        <v>BQ</v>
      </c>
      <c r="W8" s="41" t="str">
        <f t="shared" si="2"/>
        <v>Hao hụt</v>
      </c>
      <c r="X8" s="41" t="str">
        <f t="shared" si="2"/>
        <v>Tổn thất</v>
      </c>
      <c r="Y8" s="41" t="str">
        <f t="shared" si="2"/>
        <v>F nội bộ</v>
      </c>
      <c r="Z8" s="41" t="str">
        <f t="shared" si="2"/>
        <v>TT</v>
      </c>
      <c r="AA8" s="41" t="str">
        <f t="shared" si="2"/>
        <v>DT cho NV đột xuất</v>
      </c>
      <c r="AB8" s="41" t="str">
        <f t="shared" si="2"/>
        <v>DT SSCD</v>
      </c>
      <c r="AC8" s="41" t="str">
        <f t="shared" si="2"/>
        <v>TT</v>
      </c>
      <c r="AD8" s="41" t="str">
        <f t="shared" si="2"/>
        <v>TT</v>
      </c>
      <c r="AE8" s="41" t="str">
        <f t="shared" si="2"/>
        <v>TT</v>
      </c>
    </row>
    <row r="9" spans="1:66" ht="19.5" hidden="1" customHeight="1" x14ac:dyDescent="0.25">
      <c r="F9" s="16"/>
      <c r="G9" s="34" t="s">
        <v>202</v>
      </c>
      <c r="H9" s="34" t="s">
        <v>173</v>
      </c>
      <c r="I9" s="111"/>
      <c r="J9" s="111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1"/>
      <c r="AH9">
        <f>ROW()</f>
        <v>9</v>
      </c>
      <c r="AI9">
        <f>AK23</f>
        <v>0</v>
      </c>
      <c r="AJ9" t="str">
        <f t="shared" ref="AJ9:AV9" si="3">IF(I10="",$F$6, IF(ISNUMBER(SEARCH("Sum", I10)), "Tổng", I10))</f>
        <v>Tồn đầu kỳ</v>
      </c>
      <c r="AK9" t="str">
        <f t="shared" si="3"/>
        <v>Tổng</v>
      </c>
      <c r="AL9" t="str">
        <f t="shared" si="3"/>
        <v>Nhập</v>
      </c>
      <c r="AM9" t="str">
        <f t="shared" si="3"/>
        <v>Nhập</v>
      </c>
      <c r="AN9" t="str">
        <f t="shared" si="3"/>
        <v>Nhập</v>
      </c>
      <c r="AO9" t="str">
        <f t="shared" si="3"/>
        <v>Nhập</v>
      </c>
      <c r="AP9" t="str">
        <f t="shared" si="3"/>
        <v>Nhập</v>
      </c>
      <c r="AQ9" t="str">
        <f t="shared" si="3"/>
        <v>Tổng</v>
      </c>
      <c r="AR9" t="str">
        <f t="shared" si="3"/>
        <v>Xuất</v>
      </c>
      <c r="AS9" t="str">
        <f t="shared" si="3"/>
        <v>Xuất</v>
      </c>
      <c r="AT9" t="str">
        <f t="shared" si="3"/>
        <v>Xuất</v>
      </c>
      <c r="AU9" t="str">
        <f t="shared" si="3"/>
        <v>Xuất</v>
      </c>
      <c r="AV9" t="str">
        <f t="shared" si="3"/>
        <v>Xuất</v>
      </c>
      <c r="AW9" t="str">
        <f>IF(V10="",$F$6, IF(ISNUMBER(SEARCH("Sum", V10)), "Tổng", V10))</f>
        <v>Xuất</v>
      </c>
      <c r="AX9" t="str">
        <f t="shared" ref="AX9" si="4">IF(W10="",$F$6, IF(ISNUMBER(SEARCH("Sum", W10)), "Tổng", W10))</f>
        <v>Xuất</v>
      </c>
      <c r="AY9" t="str">
        <f t="shared" ref="AY9" si="5">IF(X10="",$F$6, IF(ISNUMBER(SEARCH("Sum", X10)), "Tổng", X10))</f>
        <v>Xuất</v>
      </c>
      <c r="AZ9" t="str">
        <f t="shared" ref="AZ9" si="6">IF(Y10="",$F$6, IF(ISNUMBER(SEARCH("Sum", Y10)), "Tổng", Y10))</f>
        <v>Xuất</v>
      </c>
      <c r="BA9" t="str">
        <f t="shared" ref="BA9" si="7">IF(Z10="",$F$6, IF(ISNUMBER(SEARCH("Sum", Z10)), "Tổng", Z10))</f>
        <v>Tổng</v>
      </c>
      <c r="BB9" t="str">
        <f t="shared" ref="BB9" si="8">IF(AA10="",$F$6, IF(ISNUMBER(SEARCH("Sum", AA10)), "Tổng", AA10))</f>
        <v>Tồn cuối kỳ</v>
      </c>
      <c r="BC9" t="str">
        <f t="shared" ref="BC9" si="9">IF(AB10="",$F$6,SUBSTITUTE(AB10,"Sum",""))</f>
        <v>Tồn cuối kỳ</v>
      </c>
      <c r="BD9" t="str">
        <f t="shared" ref="BD9" si="10">IF(AC10="",$F$6,SUBSTITUTE(AC10,"Sum",""))</f>
        <v xml:space="preserve">Tồn cuối kỳ </v>
      </c>
    </row>
    <row r="10" spans="1:66" s="4" customFormat="1" hidden="1" x14ac:dyDescent="0.25">
      <c r="A10" s="9"/>
      <c r="B10" s="8"/>
      <c r="F10" s="17"/>
      <c r="G10" s="111"/>
      <c r="H10" s="129" t="s">
        <v>196</v>
      </c>
      <c r="I10" s="131" t="s">
        <v>196</v>
      </c>
      <c r="J10" s="132" t="s">
        <v>198</v>
      </c>
      <c r="K10" s="129" t="s">
        <v>194</v>
      </c>
      <c r="L10" s="130" t="s">
        <v>194</v>
      </c>
      <c r="M10" s="130" t="s">
        <v>194</v>
      </c>
      <c r="N10" s="130" t="s">
        <v>194</v>
      </c>
      <c r="O10" s="131" t="s">
        <v>194</v>
      </c>
      <c r="P10" s="132" t="s">
        <v>199</v>
      </c>
      <c r="Q10" s="129" t="s">
        <v>197</v>
      </c>
      <c r="R10" s="130" t="s">
        <v>197</v>
      </c>
      <c r="S10" s="130" t="s">
        <v>197</v>
      </c>
      <c r="T10" s="130" t="s">
        <v>197</v>
      </c>
      <c r="U10" s="130" t="s">
        <v>197</v>
      </c>
      <c r="V10" s="130" t="s">
        <v>197</v>
      </c>
      <c r="W10" s="130" t="s">
        <v>197</v>
      </c>
      <c r="X10" s="130" t="s">
        <v>197</v>
      </c>
      <c r="Y10" s="131" t="s">
        <v>197</v>
      </c>
      <c r="Z10" s="132" t="s">
        <v>200</v>
      </c>
      <c r="AA10" s="129" t="s">
        <v>195</v>
      </c>
      <c r="AB10" s="131" t="s">
        <v>195</v>
      </c>
      <c r="AC10" s="132" t="s">
        <v>201</v>
      </c>
      <c r="AI10" t="str">
        <f t="shared" ref="AI10:AI11" si="11">IF(H11="",$F$6, IF(ISNUMBER(SEARCH("Sum", H11)), "Tổng", H11))</f>
        <v>DT cho NV đột xuất</v>
      </c>
      <c r="AJ10" t="str">
        <f t="shared" ref="AJ10:AJ11" si="12">IF(I11="",$F$6, IF(ISNUMBER(SEARCH("Sum", I11)), "Tổng", I11))</f>
        <v>DT SSCD</v>
      </c>
      <c r="AK10" t="str">
        <f t="shared" ref="AK10:AK11" si="13">IF(J11="",$F$6, IF(ISNUMBER(SEARCH("Sum", J11)), "Tổng", J11))</f>
        <v>TT</v>
      </c>
      <c r="AL10" t="str">
        <f t="shared" ref="AL10:AL11" si="14">IF(K11="",$F$6, IF(ISNUMBER(SEARCH("Sum", K11)), "Tổng", K11))</f>
        <v>Nhập khác</v>
      </c>
      <c r="AM10" t="str">
        <f t="shared" ref="AM10:AM11" si="15">IF(L11="",$F$6, IF(ISNUMBER(SEARCH("Sum", L11)), "Tổng", L11))</f>
        <v>CXD</v>
      </c>
      <c r="AN10" t="str">
        <f t="shared" ref="AN10:AN11" si="16">IF(M11="",$F$6, IF(ISNUMBER(SEARCH("Sum", M11)), "Tổng", M11))</f>
        <v>QC</v>
      </c>
      <c r="AO10" t="str">
        <f t="shared" ref="AO10:AO11" si="17">IF(N11="",$F$6, IF(ISNUMBER(SEARCH("Sum", N11)), "Tổng", N11))</f>
        <v>Mua P/cấp</v>
      </c>
      <c r="AP10" t="str">
        <f t="shared" ref="AP10:AP11" si="18">IF(O11="",$F$6, IF(ISNUMBER(SEARCH("Sum", O11)), "Tổng", O11))</f>
        <v>Khác</v>
      </c>
      <c r="AQ10" t="str">
        <f t="shared" ref="AQ10:AQ11" si="19">IF(P11="",$F$6, IF(ISNUMBER(SEARCH("Sum", P11)), "Tổng", P11))</f>
        <v>TT</v>
      </c>
      <c r="AR10" t="str">
        <f t="shared" ref="AR10:AR11" si="20">IF(Q11="",$F$6, IF(ISNUMBER(SEARCH("Sum", Q11)), "Tổng", Q11))</f>
        <v>Xuất khác</v>
      </c>
      <c r="AS10" t="str">
        <f t="shared" ref="AS10:AS11" si="21">IF(R11="",$F$6, IF(ISNUMBER(SEARCH("Sum", R11)), "Tổng", R11))</f>
        <v>Nhập khác</v>
      </c>
      <c r="AT10" t="str">
        <f t="shared" ref="AT10:AT11" si="22">IF(S11="",$F$6, IF(ISNUMBER(SEARCH("Sum", S11)), "Tổng", S11))</f>
        <v>CXD</v>
      </c>
      <c r="AU10" t="str">
        <f t="shared" ref="AU10:AU11" si="23">IF(T11="",$F$6, IF(ISNUMBER(SEARCH("Sum", T11)), "Tổng", T11))</f>
        <v>Khác</v>
      </c>
      <c r="AV10" t="str">
        <f t="shared" ref="AV10:AV11" si="24">IF(U11="",$F$6, IF(ISNUMBER(SEARCH("Sum", U11)), "Tổng", U11))</f>
        <v>TT Xe máy</v>
      </c>
      <c r="AW10" t="str">
        <f t="shared" ref="AW10:AW11" si="25">IF(V11="",$F$6, IF(ISNUMBER(SEARCH("Sum", V11)), "Tổng", V11))</f>
        <v>BQ</v>
      </c>
      <c r="AX10" t="str">
        <f t="shared" ref="AX10:AX11" si="26">IF(W11="",$F$6, IF(ISNUMBER(SEARCH("Sum", W11)), "Tổng", W11))</f>
        <v>Hao hụt</v>
      </c>
      <c r="AY10" t="str">
        <f t="shared" ref="AY10:AY11" si="27">IF(X11="",$F$6, IF(ISNUMBER(SEARCH("Sum", X11)), "Tổng", X11))</f>
        <v>Tổn thất</v>
      </c>
      <c r="AZ10" t="str">
        <f t="shared" ref="AZ10:AZ11" si="28">IF(Y11="",$F$6, IF(ISNUMBER(SEARCH("Sum", Y11)), "Tổng", Y11))</f>
        <v>f nội bộ</v>
      </c>
      <c r="BA10" t="str">
        <f t="shared" ref="BA10:BA11" si="29">IF(Z11="",$F$6, IF(ISNUMBER(SEARCH("Sum", Z11)), "Tổng", Z11))</f>
        <v>TT</v>
      </c>
      <c r="BB10" t="str">
        <f t="shared" ref="BB10:BB11" si="30">IF(AA11="",$F$6, IF(ISNUMBER(SEARCH("Sum", AA11)), "Tổng", AA11))</f>
        <v>DT cho NV đột xuất</v>
      </c>
      <c r="BC10" t="str">
        <f t="shared" ref="BC10:BC11" si="31">IF(AB11="",$F$6,SUBSTITUTE(AB11,"Sum",""))</f>
        <v>DT SSCD</v>
      </c>
      <c r="BD10" t="str">
        <f t="shared" ref="BD10:BD11" si="32">IF(AC11="",$F$6,SUBSTITUTE(AC11,"Sum",""))</f>
        <v>TT</v>
      </c>
      <c r="BE10"/>
      <c r="BF10"/>
      <c r="BG10"/>
      <c r="BH10"/>
      <c r="BI10"/>
      <c r="BJ10"/>
      <c r="BK10"/>
      <c r="BL10"/>
      <c r="BM10"/>
      <c r="BN10"/>
    </row>
    <row r="11" spans="1:66" s="4" customFormat="1" hidden="1" x14ac:dyDescent="0.25">
      <c r="A11" s="10"/>
      <c r="B11" s="8"/>
      <c r="F11" s="17"/>
      <c r="G11" s="111"/>
      <c r="H11" s="110" t="s">
        <v>176</v>
      </c>
      <c r="I11" s="112" t="s">
        <v>177</v>
      </c>
      <c r="J11" s="131"/>
      <c r="K11" s="110" t="s">
        <v>192</v>
      </c>
      <c r="L11" s="110" t="s">
        <v>175</v>
      </c>
      <c r="M11" s="110" t="s">
        <v>179</v>
      </c>
      <c r="N11" s="110" t="s">
        <v>178</v>
      </c>
      <c r="O11" s="112" t="s">
        <v>130</v>
      </c>
      <c r="P11" s="131"/>
      <c r="Q11" s="112" t="s">
        <v>193</v>
      </c>
      <c r="R11" s="110" t="s">
        <v>192</v>
      </c>
      <c r="S11" s="110" t="s">
        <v>175</v>
      </c>
      <c r="T11" s="110" t="s">
        <v>130</v>
      </c>
      <c r="U11" s="110" t="s">
        <v>180</v>
      </c>
      <c r="V11" s="110" t="s">
        <v>174</v>
      </c>
      <c r="W11" s="110" t="s">
        <v>139</v>
      </c>
      <c r="X11" s="112" t="s">
        <v>134</v>
      </c>
      <c r="Y11" s="110" t="s">
        <v>213</v>
      </c>
      <c r="Z11" s="131"/>
      <c r="AA11" s="110" t="s">
        <v>176</v>
      </c>
      <c r="AB11" s="112" t="s">
        <v>177</v>
      </c>
      <c r="AC11" s="131"/>
      <c r="AI11" t="str">
        <f t="shared" si="11"/>
        <v>DT cho NV đột xuất</v>
      </c>
      <c r="AJ11" t="str">
        <f t="shared" si="12"/>
        <v>DT SSCD</v>
      </c>
      <c r="AK11" t="str">
        <f t="shared" si="13"/>
        <v>TT</v>
      </c>
      <c r="AL11" t="str">
        <f t="shared" si="14"/>
        <v>Trong QC</v>
      </c>
      <c r="AM11" t="str">
        <f t="shared" si="15"/>
        <v>CXD</v>
      </c>
      <c r="AN11" t="str">
        <f t="shared" si="16"/>
        <v>QC</v>
      </c>
      <c r="AO11" t="str">
        <f t="shared" si="17"/>
        <v>Mua P/cấp</v>
      </c>
      <c r="AP11" t="str">
        <f t="shared" si="18"/>
        <v>Khác</v>
      </c>
      <c r="AQ11" t="str">
        <f t="shared" si="19"/>
        <v>TT</v>
      </c>
      <c r="AR11" t="str">
        <f t="shared" si="20"/>
        <v>Ngoài QC</v>
      </c>
      <c r="AS11" t="str">
        <f t="shared" si="21"/>
        <v>Trong QC</v>
      </c>
      <c r="AT11" t="str">
        <f t="shared" si="22"/>
        <v>CXD</v>
      </c>
      <c r="AU11" t="str">
        <f t="shared" si="23"/>
        <v>Khác</v>
      </c>
      <c r="AV11" t="str">
        <f t="shared" si="24"/>
        <v>TT Xe máy</v>
      </c>
      <c r="AW11" t="str">
        <f t="shared" si="25"/>
        <v>BQ</v>
      </c>
      <c r="AX11" t="str">
        <f t="shared" si="26"/>
        <v>Hao hụt</v>
      </c>
      <c r="AY11" t="str">
        <f t="shared" si="27"/>
        <v>Tổn thất</v>
      </c>
      <c r="AZ11" t="str">
        <f t="shared" si="28"/>
        <v>F nội bộ</v>
      </c>
      <c r="BA11" t="str">
        <f t="shared" si="29"/>
        <v>TT</v>
      </c>
      <c r="BB11" t="str">
        <f t="shared" si="30"/>
        <v>DT cho NV đột xuất</v>
      </c>
      <c r="BC11" t="str">
        <f t="shared" si="31"/>
        <v>DT SSCD</v>
      </c>
      <c r="BD11" t="str">
        <f t="shared" si="32"/>
        <v>TT</v>
      </c>
      <c r="BE11"/>
      <c r="BF11"/>
      <c r="BG11"/>
      <c r="BH11"/>
      <c r="BI11"/>
      <c r="BJ11"/>
      <c r="BK11"/>
      <c r="BL11"/>
      <c r="BM11"/>
      <c r="BN11"/>
    </row>
    <row r="12" spans="1:66" s="4" customFormat="1" hidden="1" x14ac:dyDescent="0.25">
      <c r="A12" s="10"/>
      <c r="B12" s="8"/>
      <c r="F12" s="19"/>
      <c r="G12" s="34" t="s">
        <v>202</v>
      </c>
      <c r="H12" s="112" t="s">
        <v>176</v>
      </c>
      <c r="I12" s="112" t="s">
        <v>177</v>
      </c>
      <c r="J12" s="131"/>
      <c r="K12" s="112" t="s">
        <v>131</v>
      </c>
      <c r="L12" s="112" t="s">
        <v>175</v>
      </c>
      <c r="M12" s="112" t="s">
        <v>179</v>
      </c>
      <c r="N12" s="112" t="s">
        <v>178</v>
      </c>
      <c r="O12" s="112" t="s">
        <v>130</v>
      </c>
      <c r="P12" s="131"/>
      <c r="Q12" s="112" t="s">
        <v>133</v>
      </c>
      <c r="R12" s="110" t="s">
        <v>131</v>
      </c>
      <c r="S12" s="110" t="s">
        <v>175</v>
      </c>
      <c r="T12" s="112" t="s">
        <v>130</v>
      </c>
      <c r="U12" s="112" t="s">
        <v>180</v>
      </c>
      <c r="V12" s="112" t="s">
        <v>174</v>
      </c>
      <c r="W12" s="112" t="s">
        <v>139</v>
      </c>
      <c r="X12" s="112" t="s">
        <v>134</v>
      </c>
      <c r="Y12" s="110" t="s">
        <v>214</v>
      </c>
      <c r="Z12" s="131"/>
      <c r="AA12" s="112" t="s">
        <v>176</v>
      </c>
      <c r="AB12" s="112" t="s">
        <v>177</v>
      </c>
      <c r="AC12" s="131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6" s="15" customFormat="1" ht="14.25" x14ac:dyDescent="0.2">
      <c r="A13" s="35"/>
      <c r="B13" s="14"/>
      <c r="F13" s="18" t="s">
        <v>204</v>
      </c>
      <c r="G13" s="26" t="s">
        <v>191</v>
      </c>
      <c r="H13" s="36">
        <v>160000</v>
      </c>
      <c r="I13" s="36">
        <v>160000</v>
      </c>
      <c r="J13" s="36">
        <v>320000</v>
      </c>
      <c r="K13" s="36">
        <v>0</v>
      </c>
      <c r="L13" s="36">
        <v>48937</v>
      </c>
      <c r="M13" s="36">
        <v>0</v>
      </c>
      <c r="N13" s="36">
        <v>0</v>
      </c>
      <c r="O13" s="36">
        <v>0</v>
      </c>
      <c r="P13" s="36">
        <v>48937</v>
      </c>
      <c r="Q13" s="36">
        <v>0</v>
      </c>
      <c r="R13" s="36">
        <v>12106</v>
      </c>
      <c r="S13" s="36">
        <v>0</v>
      </c>
      <c r="T13" s="36">
        <v>0</v>
      </c>
      <c r="U13" s="36">
        <v>0</v>
      </c>
      <c r="V13" s="36">
        <v>0</v>
      </c>
      <c r="W13" s="36">
        <v>0</v>
      </c>
      <c r="X13" s="36">
        <v>0</v>
      </c>
      <c r="Y13" s="36">
        <v>0</v>
      </c>
      <c r="Z13" s="36">
        <v>12106</v>
      </c>
      <c r="AA13" s="36">
        <v>176712</v>
      </c>
      <c r="AB13" s="36">
        <v>160000</v>
      </c>
      <c r="AC13" s="37">
        <v>336712</v>
      </c>
    </row>
    <row r="14" spans="1:66" hidden="1" x14ac:dyDescent="0.25">
      <c r="F14" s="16"/>
      <c r="G14" s="27" t="s">
        <v>205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1"/>
    </row>
    <row r="15" spans="1:66" s="15" customFormat="1" ht="14.25" x14ac:dyDescent="0.2">
      <c r="A15" s="13"/>
      <c r="B15" s="14"/>
      <c r="F15" s="18">
        <v>1</v>
      </c>
      <c r="G15" s="29" t="s">
        <v>205</v>
      </c>
      <c r="H15" s="22">
        <v>40000</v>
      </c>
      <c r="I15" s="22">
        <v>40000</v>
      </c>
      <c r="J15" s="22">
        <v>80000</v>
      </c>
      <c r="K15" s="22">
        <v>0</v>
      </c>
      <c r="L15" s="22">
        <v>24624</v>
      </c>
      <c r="M15" s="22">
        <v>0</v>
      </c>
      <c r="N15" s="22">
        <v>0</v>
      </c>
      <c r="O15" s="22">
        <v>0</v>
      </c>
      <c r="P15" s="22">
        <v>24624</v>
      </c>
      <c r="Q15" s="22">
        <v>0</v>
      </c>
      <c r="R15" s="22">
        <v>3552</v>
      </c>
      <c r="S15" s="22">
        <v>0</v>
      </c>
      <c r="T15" s="22">
        <v>0</v>
      </c>
      <c r="U15" s="22">
        <v>0</v>
      </c>
      <c r="V15" s="22">
        <v>0</v>
      </c>
      <c r="W15" s="22">
        <v>0</v>
      </c>
      <c r="X15" s="22">
        <v>0</v>
      </c>
      <c r="Y15" s="22">
        <v>0</v>
      </c>
      <c r="Z15" s="22">
        <v>3552</v>
      </c>
      <c r="AA15" s="22">
        <v>58730</v>
      </c>
      <c r="AB15" s="22">
        <v>40000</v>
      </c>
      <c r="AC15" s="23">
        <v>98730</v>
      </c>
    </row>
    <row r="16" spans="1:66" x14ac:dyDescent="0.25">
      <c r="F16" s="16"/>
      <c r="G16" s="30" t="s">
        <v>41</v>
      </c>
      <c r="H16" s="20">
        <v>20000</v>
      </c>
      <c r="I16" s="20">
        <v>20000</v>
      </c>
      <c r="J16" s="20">
        <v>40000</v>
      </c>
      <c r="K16" s="20">
        <v>0</v>
      </c>
      <c r="L16" s="20">
        <v>12312</v>
      </c>
      <c r="M16" s="20">
        <v>0</v>
      </c>
      <c r="N16" s="20">
        <v>0</v>
      </c>
      <c r="O16" s="20">
        <v>0</v>
      </c>
      <c r="P16" s="20">
        <v>12312</v>
      </c>
      <c r="Q16" s="20">
        <v>0</v>
      </c>
      <c r="R16" s="20">
        <v>1209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1209</v>
      </c>
      <c r="AA16" s="20">
        <v>28761</v>
      </c>
      <c r="AB16" s="20">
        <v>20000</v>
      </c>
      <c r="AC16" s="21">
        <v>48761</v>
      </c>
    </row>
    <row r="17" spans="1:29" x14ac:dyDescent="0.25">
      <c r="B17" s="51"/>
      <c r="F17" s="16"/>
      <c r="G17" s="31" t="s">
        <v>44</v>
      </c>
      <c r="H17" s="20">
        <v>20000</v>
      </c>
      <c r="I17" s="20">
        <v>20000</v>
      </c>
      <c r="J17" s="20">
        <v>40000</v>
      </c>
      <c r="K17" s="20">
        <v>0</v>
      </c>
      <c r="L17" s="20">
        <v>12312</v>
      </c>
      <c r="M17" s="20">
        <v>0</v>
      </c>
      <c r="N17" s="20">
        <v>0</v>
      </c>
      <c r="O17" s="20">
        <v>0</v>
      </c>
      <c r="P17" s="20">
        <v>12312</v>
      </c>
      <c r="Q17" s="20">
        <v>0</v>
      </c>
      <c r="R17" s="20">
        <v>2343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2343</v>
      </c>
      <c r="AA17" s="20">
        <v>29969</v>
      </c>
      <c r="AB17" s="20">
        <v>20000</v>
      </c>
      <c r="AC17" s="21">
        <v>49969</v>
      </c>
    </row>
    <row r="18" spans="1:29" hidden="1" x14ac:dyDescent="0.25">
      <c r="F18" s="16"/>
      <c r="G18" s="27" t="s">
        <v>206</v>
      </c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1"/>
    </row>
    <row r="19" spans="1:29" s="15" customFormat="1" ht="14.25" x14ac:dyDescent="0.2">
      <c r="A19" s="13"/>
      <c r="B19" s="14"/>
      <c r="F19" s="18">
        <v>2</v>
      </c>
      <c r="G19" s="29" t="s">
        <v>206</v>
      </c>
      <c r="H19" s="22">
        <v>20000</v>
      </c>
      <c r="I19" s="22">
        <v>20000</v>
      </c>
      <c r="J19" s="22">
        <v>40000</v>
      </c>
      <c r="K19" s="22">
        <v>0</v>
      </c>
      <c r="L19" s="22">
        <v>24313</v>
      </c>
      <c r="M19" s="22">
        <v>0</v>
      </c>
      <c r="N19" s="22">
        <v>0</v>
      </c>
      <c r="O19" s="22">
        <v>0</v>
      </c>
      <c r="P19" s="22">
        <v>24313</v>
      </c>
      <c r="Q19" s="22">
        <v>0</v>
      </c>
      <c r="R19" s="22">
        <v>5000</v>
      </c>
      <c r="S19" s="22">
        <v>0</v>
      </c>
      <c r="T19" s="22">
        <v>0</v>
      </c>
      <c r="U19" s="22">
        <v>0</v>
      </c>
      <c r="V19" s="22">
        <v>0</v>
      </c>
      <c r="W19" s="22">
        <v>0</v>
      </c>
      <c r="X19" s="22">
        <v>0</v>
      </c>
      <c r="Y19" s="22">
        <v>0</v>
      </c>
      <c r="Z19" s="22">
        <v>5000</v>
      </c>
      <c r="AA19" s="22">
        <v>39313</v>
      </c>
      <c r="AB19" s="22">
        <v>20000</v>
      </c>
      <c r="AC19" s="23">
        <v>59313</v>
      </c>
    </row>
    <row r="20" spans="1:29" x14ac:dyDescent="0.25">
      <c r="F20" s="16"/>
      <c r="G20" s="32" t="s">
        <v>86</v>
      </c>
      <c r="H20" s="20">
        <v>20000</v>
      </c>
      <c r="I20" s="20">
        <v>20000</v>
      </c>
      <c r="J20" s="20">
        <v>40000</v>
      </c>
      <c r="K20" s="20">
        <v>0</v>
      </c>
      <c r="L20" s="20">
        <v>24313</v>
      </c>
      <c r="M20" s="20">
        <v>0</v>
      </c>
      <c r="N20" s="20">
        <v>0</v>
      </c>
      <c r="O20" s="20">
        <v>0</v>
      </c>
      <c r="P20" s="20">
        <v>24313</v>
      </c>
      <c r="Q20" s="20">
        <v>0</v>
      </c>
      <c r="R20" s="20">
        <v>5000</v>
      </c>
      <c r="S20" s="20">
        <v>0</v>
      </c>
      <c r="T20" s="20">
        <v>0</v>
      </c>
      <c r="U20" s="20">
        <v>0</v>
      </c>
      <c r="V20" s="20">
        <v>0</v>
      </c>
      <c r="W20" s="20">
        <v>0</v>
      </c>
      <c r="X20" s="20">
        <v>0</v>
      </c>
      <c r="Y20" s="20">
        <v>0</v>
      </c>
      <c r="Z20" s="20">
        <v>5000</v>
      </c>
      <c r="AA20" s="20">
        <v>39313</v>
      </c>
      <c r="AB20" s="20">
        <v>20000</v>
      </c>
      <c r="AC20" s="21">
        <v>59313</v>
      </c>
    </row>
    <row r="21" spans="1:29" hidden="1" x14ac:dyDescent="0.25">
      <c r="F21" s="16"/>
      <c r="G21" s="27" t="s">
        <v>207</v>
      </c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1"/>
    </row>
    <row r="22" spans="1:29" s="15" customFormat="1" ht="14.25" x14ac:dyDescent="0.2">
      <c r="A22" s="13"/>
      <c r="B22" s="14"/>
      <c r="F22" s="18"/>
      <c r="G22" s="29" t="s">
        <v>207</v>
      </c>
      <c r="H22" s="22">
        <v>40000</v>
      </c>
      <c r="I22" s="22">
        <v>40000</v>
      </c>
      <c r="J22" s="22">
        <v>80000</v>
      </c>
      <c r="K22" s="22">
        <v>0</v>
      </c>
      <c r="L22" s="22">
        <v>0</v>
      </c>
      <c r="M22" s="22">
        <v>0</v>
      </c>
      <c r="N22" s="22">
        <v>0</v>
      </c>
      <c r="O22" s="22">
        <v>0</v>
      </c>
      <c r="P22" s="22">
        <v>0</v>
      </c>
      <c r="Q22" s="22">
        <v>0</v>
      </c>
      <c r="R22" s="22">
        <v>0</v>
      </c>
      <c r="S22" s="22">
        <v>0</v>
      </c>
      <c r="T22" s="22">
        <v>0</v>
      </c>
      <c r="U22" s="22">
        <v>0</v>
      </c>
      <c r="V22" s="22">
        <v>0</v>
      </c>
      <c r="W22" s="22">
        <v>0</v>
      </c>
      <c r="X22" s="22">
        <v>0</v>
      </c>
      <c r="Y22" s="22">
        <v>0</v>
      </c>
      <c r="Z22" s="22">
        <v>0</v>
      </c>
      <c r="AA22" s="22">
        <v>40000</v>
      </c>
      <c r="AB22" s="22">
        <v>40000</v>
      </c>
      <c r="AC22" s="23">
        <v>80000</v>
      </c>
    </row>
    <row r="23" spans="1:29" x14ac:dyDescent="0.25">
      <c r="F23" s="16"/>
      <c r="G23" s="30" t="s">
        <v>98</v>
      </c>
      <c r="H23" s="20">
        <v>20000</v>
      </c>
      <c r="I23" s="20">
        <v>20000</v>
      </c>
      <c r="J23" s="20">
        <v>40000</v>
      </c>
      <c r="K23" s="20">
        <v>0</v>
      </c>
      <c r="L23" s="20">
        <v>0</v>
      </c>
      <c r="M23" s="20">
        <v>0</v>
      </c>
      <c r="N23" s="20">
        <v>0</v>
      </c>
      <c r="O23" s="20">
        <v>0</v>
      </c>
      <c r="P23" s="20">
        <v>0</v>
      </c>
      <c r="Q23" s="20">
        <v>0</v>
      </c>
      <c r="R23" s="20">
        <v>0</v>
      </c>
      <c r="S23" s="20">
        <v>0</v>
      </c>
      <c r="T23" s="20">
        <v>0</v>
      </c>
      <c r="U23" s="20">
        <v>0</v>
      </c>
      <c r="V23" s="20">
        <v>0</v>
      </c>
      <c r="W23" s="20">
        <v>0</v>
      </c>
      <c r="X23" s="20">
        <v>0</v>
      </c>
      <c r="Y23" s="20">
        <v>0</v>
      </c>
      <c r="Z23" s="20">
        <v>0</v>
      </c>
      <c r="AA23" s="20">
        <v>20000</v>
      </c>
      <c r="AB23" s="20">
        <v>20000</v>
      </c>
      <c r="AC23" s="21">
        <v>40000</v>
      </c>
    </row>
    <row r="24" spans="1:29" x14ac:dyDescent="0.25">
      <c r="F24" s="16"/>
      <c r="G24" s="31" t="s">
        <v>91</v>
      </c>
      <c r="H24" s="20">
        <v>20000</v>
      </c>
      <c r="I24" s="20">
        <v>20000</v>
      </c>
      <c r="J24" s="20">
        <v>40000</v>
      </c>
      <c r="K24" s="20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0</v>
      </c>
      <c r="W24" s="20">
        <v>0</v>
      </c>
      <c r="X24" s="20">
        <v>0</v>
      </c>
      <c r="Y24" s="20">
        <v>0</v>
      </c>
      <c r="Z24" s="20">
        <v>0</v>
      </c>
      <c r="AA24" s="20">
        <v>20000</v>
      </c>
      <c r="AB24" s="20">
        <v>20000</v>
      </c>
      <c r="AC24" s="21">
        <v>40000</v>
      </c>
    </row>
    <row r="25" spans="1:29" hidden="1" x14ac:dyDescent="0.25">
      <c r="F25" s="16"/>
      <c r="G25" s="27" t="s">
        <v>208</v>
      </c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1"/>
    </row>
    <row r="26" spans="1:29" s="15" customFormat="1" ht="14.25" x14ac:dyDescent="0.2">
      <c r="A26" s="13"/>
      <c r="B26" s="14"/>
      <c r="F26" s="18">
        <v>3</v>
      </c>
      <c r="G26" s="29" t="s">
        <v>208</v>
      </c>
      <c r="H26" s="22">
        <v>60000</v>
      </c>
      <c r="I26" s="22">
        <v>60000</v>
      </c>
      <c r="J26" s="22">
        <v>120000</v>
      </c>
      <c r="K26" s="22">
        <v>0</v>
      </c>
      <c r="L26" s="22">
        <v>0</v>
      </c>
      <c r="M26" s="22">
        <v>0</v>
      </c>
      <c r="N26" s="22">
        <v>0</v>
      </c>
      <c r="O26" s="22">
        <v>0</v>
      </c>
      <c r="P26" s="22">
        <v>0</v>
      </c>
      <c r="Q26" s="22">
        <v>0</v>
      </c>
      <c r="R26" s="22">
        <v>3554</v>
      </c>
      <c r="S26" s="22">
        <v>0</v>
      </c>
      <c r="T26" s="22">
        <v>0</v>
      </c>
      <c r="U26" s="22">
        <v>0</v>
      </c>
      <c r="V26" s="22">
        <v>0</v>
      </c>
      <c r="W26" s="22">
        <v>0</v>
      </c>
      <c r="X26" s="22">
        <v>0</v>
      </c>
      <c r="Y26" s="22">
        <v>0</v>
      </c>
      <c r="Z26" s="22">
        <v>3554</v>
      </c>
      <c r="AA26" s="22">
        <v>38669</v>
      </c>
      <c r="AB26" s="22">
        <v>60000</v>
      </c>
      <c r="AC26" s="23">
        <v>98669</v>
      </c>
    </row>
    <row r="27" spans="1:29" ht="15.75" x14ac:dyDescent="0.25">
      <c r="F27" s="16"/>
      <c r="G27" s="30" t="s">
        <v>88</v>
      </c>
      <c r="H27" s="20">
        <v>20000</v>
      </c>
      <c r="I27" s="20">
        <v>20000</v>
      </c>
      <c r="J27" s="20">
        <v>40000</v>
      </c>
      <c r="K27" s="20">
        <v>0</v>
      </c>
      <c r="L27" s="20">
        <v>0</v>
      </c>
      <c r="M27" s="38">
        <v>0</v>
      </c>
      <c r="N27" s="20">
        <v>0</v>
      </c>
      <c r="O27" s="20">
        <v>0</v>
      </c>
      <c r="P27" s="20">
        <v>0</v>
      </c>
      <c r="Q27" s="20">
        <v>0</v>
      </c>
      <c r="R27" s="20">
        <v>0</v>
      </c>
      <c r="S27" s="20">
        <v>0</v>
      </c>
      <c r="T27" s="20">
        <v>0</v>
      </c>
      <c r="U27" s="20">
        <v>0</v>
      </c>
      <c r="V27" s="20">
        <v>0</v>
      </c>
      <c r="W27" s="20">
        <v>0</v>
      </c>
      <c r="X27" s="20">
        <v>0</v>
      </c>
      <c r="Y27" s="20">
        <v>0</v>
      </c>
      <c r="Z27" s="20">
        <v>0</v>
      </c>
      <c r="AA27" s="20">
        <v>20000</v>
      </c>
      <c r="AB27" s="20">
        <v>20000</v>
      </c>
      <c r="AC27" s="21">
        <v>40000</v>
      </c>
    </row>
    <row r="28" spans="1:29" x14ac:dyDescent="0.25">
      <c r="F28" s="16"/>
      <c r="G28" s="33" t="s">
        <v>98</v>
      </c>
      <c r="H28" s="20">
        <v>20000</v>
      </c>
      <c r="I28" s="20">
        <v>20000</v>
      </c>
      <c r="J28" s="20">
        <v>40000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0</v>
      </c>
      <c r="Q28" s="20">
        <v>0</v>
      </c>
      <c r="R28" s="20">
        <v>3554</v>
      </c>
      <c r="S28" s="20">
        <v>0</v>
      </c>
      <c r="T28" s="20">
        <v>0</v>
      </c>
      <c r="U28" s="20">
        <v>0</v>
      </c>
      <c r="V28" s="20">
        <v>0</v>
      </c>
      <c r="W28" s="20">
        <v>0</v>
      </c>
      <c r="X28" s="20">
        <v>0</v>
      </c>
      <c r="Y28" s="20">
        <v>0</v>
      </c>
      <c r="Z28" s="20">
        <v>3554</v>
      </c>
      <c r="AA28" s="20">
        <v>10446</v>
      </c>
      <c r="AB28" s="20">
        <v>20000</v>
      </c>
      <c r="AC28" s="21">
        <v>30446</v>
      </c>
    </row>
    <row r="29" spans="1:29" x14ac:dyDescent="0.25">
      <c r="F29" s="16"/>
      <c r="G29" s="31" t="s">
        <v>91</v>
      </c>
      <c r="H29" s="20">
        <v>20000</v>
      </c>
      <c r="I29" s="20">
        <v>20000</v>
      </c>
      <c r="J29" s="20">
        <v>40000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0</v>
      </c>
      <c r="Q29" s="20">
        <v>0</v>
      </c>
      <c r="R29" s="20">
        <v>0</v>
      </c>
      <c r="S29" s="20">
        <v>0</v>
      </c>
      <c r="T29" s="20">
        <v>0</v>
      </c>
      <c r="U29" s="20">
        <v>0</v>
      </c>
      <c r="V29" s="20">
        <v>0</v>
      </c>
      <c r="W29" s="20">
        <v>0</v>
      </c>
      <c r="X29" s="20">
        <v>0</v>
      </c>
      <c r="Y29" s="20">
        <v>0</v>
      </c>
      <c r="Z29" s="20">
        <v>0</v>
      </c>
      <c r="AA29" s="20">
        <v>8223</v>
      </c>
      <c r="AB29" s="20">
        <v>20000</v>
      </c>
      <c r="AC29" s="21">
        <v>28223</v>
      </c>
    </row>
    <row r="30" spans="1:29" s="15" customFormat="1" ht="14.25" x14ac:dyDescent="0.2">
      <c r="A30" s="13"/>
      <c r="B30" s="14"/>
      <c r="F30" s="18" t="s">
        <v>210</v>
      </c>
      <c r="G30" s="26" t="s">
        <v>209</v>
      </c>
      <c r="H30" s="22">
        <v>860000</v>
      </c>
      <c r="I30" s="22">
        <v>860000</v>
      </c>
      <c r="J30" s="22">
        <v>1720000</v>
      </c>
      <c r="K30" s="22">
        <v>0</v>
      </c>
      <c r="L30" s="22">
        <v>0</v>
      </c>
      <c r="M30" s="22">
        <v>0</v>
      </c>
      <c r="N30" s="22">
        <v>0</v>
      </c>
      <c r="O30" s="22">
        <v>0</v>
      </c>
      <c r="P30" s="22">
        <v>0</v>
      </c>
      <c r="Q30" s="22">
        <v>0</v>
      </c>
      <c r="R30" s="22">
        <v>2323</v>
      </c>
      <c r="S30" s="22">
        <v>0</v>
      </c>
      <c r="T30" s="22">
        <v>0</v>
      </c>
      <c r="U30" s="22">
        <v>0</v>
      </c>
      <c r="V30" s="22">
        <v>0</v>
      </c>
      <c r="W30" s="22">
        <v>0</v>
      </c>
      <c r="X30" s="22">
        <v>0</v>
      </c>
      <c r="Y30" s="22">
        <v>0</v>
      </c>
      <c r="Z30" s="22">
        <v>2323</v>
      </c>
      <c r="AA30" s="22">
        <v>851913</v>
      </c>
      <c r="AB30" s="22">
        <v>860000</v>
      </c>
      <c r="AC30" s="23">
        <v>1711913</v>
      </c>
    </row>
    <row r="31" spans="1:29" s="15" customFormat="1" ht="14.25" x14ac:dyDescent="0.2">
      <c r="A31" s="13"/>
      <c r="B31" s="14"/>
      <c r="F31" s="18" t="s">
        <v>211</v>
      </c>
      <c r="G31" s="28" t="s">
        <v>190</v>
      </c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3"/>
    </row>
    <row r="32" spans="1:29" s="15" customFormat="1" ht="14.25" x14ac:dyDescent="0.2">
      <c r="A32" s="13"/>
      <c r="B32" s="14"/>
      <c r="F32" s="18">
        <v>1</v>
      </c>
      <c r="G32" s="29" t="s">
        <v>182</v>
      </c>
      <c r="H32" s="22">
        <v>200000</v>
      </c>
      <c r="I32" s="22">
        <v>200000</v>
      </c>
      <c r="J32" s="22">
        <v>400000</v>
      </c>
      <c r="K32" s="22">
        <v>0</v>
      </c>
      <c r="L32" s="22">
        <v>0</v>
      </c>
      <c r="M32" s="22">
        <v>0</v>
      </c>
      <c r="N32" s="22">
        <v>0</v>
      </c>
      <c r="O32" s="22">
        <v>0</v>
      </c>
      <c r="P32" s="22">
        <v>0</v>
      </c>
      <c r="Q32" s="22">
        <v>0</v>
      </c>
      <c r="R32" s="22">
        <v>2323</v>
      </c>
      <c r="S32" s="22">
        <v>0</v>
      </c>
      <c r="T32" s="22">
        <v>0</v>
      </c>
      <c r="U32" s="22">
        <v>0</v>
      </c>
      <c r="V32" s="22">
        <v>0</v>
      </c>
      <c r="W32" s="22">
        <v>0</v>
      </c>
      <c r="X32" s="22">
        <v>0</v>
      </c>
      <c r="Y32" s="22">
        <v>0</v>
      </c>
      <c r="Z32" s="22">
        <v>2323</v>
      </c>
      <c r="AA32" s="22">
        <v>191913</v>
      </c>
      <c r="AB32" s="22">
        <v>200000</v>
      </c>
      <c r="AC32" s="23">
        <v>391913</v>
      </c>
    </row>
    <row r="33" spans="1:29" x14ac:dyDescent="0.25">
      <c r="F33" s="16"/>
      <c r="G33" s="30" t="s">
        <v>104</v>
      </c>
      <c r="H33" s="20">
        <v>20000</v>
      </c>
      <c r="I33" s="20">
        <v>20000</v>
      </c>
      <c r="J33" s="20">
        <v>40000</v>
      </c>
      <c r="K33" s="20">
        <v>0</v>
      </c>
      <c r="L33" s="20">
        <v>0</v>
      </c>
      <c r="M33" s="20">
        <v>0</v>
      </c>
      <c r="N33" s="20">
        <v>0</v>
      </c>
      <c r="O33" s="20">
        <v>0</v>
      </c>
      <c r="P33" s="20">
        <v>0</v>
      </c>
      <c r="Q33" s="20">
        <v>0</v>
      </c>
      <c r="R33" s="20">
        <v>0</v>
      </c>
      <c r="S33" s="20">
        <v>0</v>
      </c>
      <c r="T33" s="20">
        <v>0</v>
      </c>
      <c r="U33" s="20">
        <v>0</v>
      </c>
      <c r="V33" s="20">
        <v>0</v>
      </c>
      <c r="W33" s="20">
        <v>0</v>
      </c>
      <c r="X33" s="20">
        <v>0</v>
      </c>
      <c r="Y33" s="20">
        <v>0</v>
      </c>
      <c r="Z33" s="20">
        <v>0</v>
      </c>
      <c r="AA33" s="20">
        <v>20000</v>
      </c>
      <c r="AB33" s="20">
        <v>20000</v>
      </c>
      <c r="AC33" s="21">
        <v>40000</v>
      </c>
    </row>
    <row r="34" spans="1:29" x14ac:dyDescent="0.25">
      <c r="F34" s="16"/>
      <c r="G34" s="33" t="s">
        <v>105</v>
      </c>
      <c r="H34" s="20">
        <v>20000</v>
      </c>
      <c r="I34" s="20">
        <v>20000</v>
      </c>
      <c r="J34" s="20">
        <v>40000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0</v>
      </c>
      <c r="Q34" s="20">
        <v>0</v>
      </c>
      <c r="R34" s="20">
        <v>0</v>
      </c>
      <c r="S34" s="20">
        <v>0</v>
      </c>
      <c r="T34" s="20">
        <v>0</v>
      </c>
      <c r="U34" s="20">
        <v>0</v>
      </c>
      <c r="V34" s="20">
        <v>0</v>
      </c>
      <c r="W34" s="20">
        <v>0</v>
      </c>
      <c r="X34" s="20">
        <v>0</v>
      </c>
      <c r="Y34" s="20">
        <v>0</v>
      </c>
      <c r="Z34" s="20">
        <v>0</v>
      </c>
      <c r="AA34" s="20">
        <v>20000</v>
      </c>
      <c r="AB34" s="20">
        <v>20000</v>
      </c>
      <c r="AC34" s="21">
        <v>40000</v>
      </c>
    </row>
    <row r="35" spans="1:29" x14ac:dyDescent="0.25">
      <c r="F35" s="16"/>
      <c r="G35" s="33" t="s">
        <v>46</v>
      </c>
      <c r="H35" s="20">
        <v>20000</v>
      </c>
      <c r="I35" s="20">
        <v>20000</v>
      </c>
      <c r="J35" s="20">
        <v>40000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0</v>
      </c>
      <c r="Q35" s="20">
        <v>0</v>
      </c>
      <c r="R35" s="20">
        <v>0</v>
      </c>
      <c r="S35" s="20">
        <v>0</v>
      </c>
      <c r="T35" s="20">
        <v>0</v>
      </c>
      <c r="U35" s="20">
        <v>0</v>
      </c>
      <c r="V35" s="20">
        <v>0</v>
      </c>
      <c r="W35" s="20">
        <v>0</v>
      </c>
      <c r="X35" s="20">
        <v>0</v>
      </c>
      <c r="Y35" s="20">
        <v>0</v>
      </c>
      <c r="Z35" s="20">
        <v>0</v>
      </c>
      <c r="AA35" s="20">
        <v>20000</v>
      </c>
      <c r="AB35" s="20">
        <v>20000</v>
      </c>
      <c r="AC35" s="21">
        <v>40000</v>
      </c>
    </row>
    <row r="36" spans="1:29" x14ac:dyDescent="0.25">
      <c r="F36" s="16"/>
      <c r="G36" s="33" t="s">
        <v>99</v>
      </c>
      <c r="H36" s="20">
        <v>20000</v>
      </c>
      <c r="I36" s="20">
        <v>20000</v>
      </c>
      <c r="J36" s="20">
        <v>40000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0</v>
      </c>
      <c r="Q36" s="20">
        <v>0</v>
      </c>
      <c r="R36" s="20">
        <v>2323</v>
      </c>
      <c r="S36" s="20">
        <v>0</v>
      </c>
      <c r="T36" s="20">
        <v>0</v>
      </c>
      <c r="U36" s="20">
        <v>0</v>
      </c>
      <c r="V36" s="20">
        <v>0</v>
      </c>
      <c r="W36" s="20">
        <v>0</v>
      </c>
      <c r="X36" s="20">
        <v>0</v>
      </c>
      <c r="Y36" s="20">
        <v>0</v>
      </c>
      <c r="Z36" s="20">
        <v>2323</v>
      </c>
      <c r="AA36" s="20">
        <v>11913</v>
      </c>
      <c r="AB36" s="20">
        <v>20000</v>
      </c>
      <c r="AC36" s="21">
        <v>31913</v>
      </c>
    </row>
    <row r="37" spans="1:29" x14ac:dyDescent="0.25">
      <c r="F37" s="16"/>
      <c r="G37" s="33" t="s">
        <v>102</v>
      </c>
      <c r="H37" s="20">
        <v>20000</v>
      </c>
      <c r="I37" s="20">
        <v>20000</v>
      </c>
      <c r="J37" s="20">
        <v>40000</v>
      </c>
      <c r="K37" s="20">
        <v>0</v>
      </c>
      <c r="L37" s="20">
        <v>0</v>
      </c>
      <c r="M37" s="20">
        <v>0</v>
      </c>
      <c r="N37" s="20">
        <v>0</v>
      </c>
      <c r="O37" s="20">
        <v>0</v>
      </c>
      <c r="P37" s="20">
        <v>0</v>
      </c>
      <c r="Q37" s="20">
        <v>0</v>
      </c>
      <c r="R37" s="20">
        <v>0</v>
      </c>
      <c r="S37" s="20">
        <v>0</v>
      </c>
      <c r="T37" s="20">
        <v>0</v>
      </c>
      <c r="U37" s="20">
        <v>0</v>
      </c>
      <c r="V37" s="20">
        <v>0</v>
      </c>
      <c r="W37" s="20">
        <v>0</v>
      </c>
      <c r="X37" s="20">
        <v>0</v>
      </c>
      <c r="Y37" s="20">
        <v>0</v>
      </c>
      <c r="Z37" s="20">
        <v>0</v>
      </c>
      <c r="AA37" s="20">
        <v>20000</v>
      </c>
      <c r="AB37" s="20">
        <v>20000</v>
      </c>
      <c r="AC37" s="21">
        <v>40000</v>
      </c>
    </row>
    <row r="38" spans="1:29" x14ac:dyDescent="0.25">
      <c r="F38" s="16"/>
      <c r="G38" s="33" t="s">
        <v>103</v>
      </c>
      <c r="H38" s="20">
        <v>20000</v>
      </c>
      <c r="I38" s="20">
        <v>20000</v>
      </c>
      <c r="J38" s="20">
        <v>40000</v>
      </c>
      <c r="K38" s="20">
        <v>0</v>
      </c>
      <c r="L38" s="20">
        <v>0</v>
      </c>
      <c r="M38" s="20">
        <v>0</v>
      </c>
      <c r="N38" s="20">
        <v>0</v>
      </c>
      <c r="O38" s="20">
        <v>0</v>
      </c>
      <c r="P38" s="20">
        <v>0</v>
      </c>
      <c r="Q38" s="20">
        <v>0</v>
      </c>
      <c r="R38" s="20">
        <v>0</v>
      </c>
      <c r="S38" s="20">
        <v>0</v>
      </c>
      <c r="T38" s="20">
        <v>0</v>
      </c>
      <c r="U38" s="20">
        <v>0</v>
      </c>
      <c r="V38" s="20">
        <v>0</v>
      </c>
      <c r="W38" s="20">
        <v>0</v>
      </c>
      <c r="X38" s="20">
        <v>0</v>
      </c>
      <c r="Y38" s="20">
        <v>0</v>
      </c>
      <c r="Z38" s="20">
        <v>0</v>
      </c>
      <c r="AA38" s="20">
        <v>20000</v>
      </c>
      <c r="AB38" s="20">
        <v>20000</v>
      </c>
      <c r="AC38" s="21">
        <v>40000</v>
      </c>
    </row>
    <row r="39" spans="1:29" x14ac:dyDescent="0.25">
      <c r="F39" s="16"/>
      <c r="G39" s="33" t="s">
        <v>107</v>
      </c>
      <c r="H39" s="20">
        <v>20000</v>
      </c>
      <c r="I39" s="20">
        <v>20000</v>
      </c>
      <c r="J39" s="20">
        <v>40000</v>
      </c>
      <c r="K39" s="20">
        <v>0</v>
      </c>
      <c r="L39" s="20">
        <v>0</v>
      </c>
      <c r="M39" s="20">
        <v>0</v>
      </c>
      <c r="N39" s="20">
        <v>0</v>
      </c>
      <c r="O39" s="20">
        <v>0</v>
      </c>
      <c r="P39" s="20">
        <v>0</v>
      </c>
      <c r="Q39" s="20">
        <v>0</v>
      </c>
      <c r="R39" s="20">
        <v>0</v>
      </c>
      <c r="S39" s="20">
        <v>0</v>
      </c>
      <c r="T39" s="20">
        <v>0</v>
      </c>
      <c r="U39" s="20">
        <v>0</v>
      </c>
      <c r="V39" s="20">
        <v>0</v>
      </c>
      <c r="W39" s="20">
        <v>0</v>
      </c>
      <c r="X39" s="20">
        <v>0</v>
      </c>
      <c r="Y39" s="20">
        <v>0</v>
      </c>
      <c r="Z39" s="20">
        <v>0</v>
      </c>
      <c r="AA39" s="20">
        <v>20000</v>
      </c>
      <c r="AB39" s="20">
        <v>20000</v>
      </c>
      <c r="AC39" s="21">
        <v>40000</v>
      </c>
    </row>
    <row r="40" spans="1:29" x14ac:dyDescent="0.25">
      <c r="F40" s="16"/>
      <c r="G40" s="33" t="s">
        <v>109</v>
      </c>
      <c r="H40" s="20">
        <v>20000</v>
      </c>
      <c r="I40" s="20">
        <v>20000</v>
      </c>
      <c r="J40" s="20">
        <v>40000</v>
      </c>
      <c r="K40" s="20">
        <v>0</v>
      </c>
      <c r="L40" s="20">
        <v>0</v>
      </c>
      <c r="M40" s="20">
        <v>0</v>
      </c>
      <c r="N40" s="20">
        <v>0</v>
      </c>
      <c r="O40" s="20">
        <v>0</v>
      </c>
      <c r="P40" s="20">
        <v>0</v>
      </c>
      <c r="Q40" s="20">
        <v>0</v>
      </c>
      <c r="R40" s="20">
        <v>0</v>
      </c>
      <c r="S40" s="20">
        <v>0</v>
      </c>
      <c r="T40" s="20">
        <v>0</v>
      </c>
      <c r="U40" s="20">
        <v>0</v>
      </c>
      <c r="V40" s="20">
        <v>0</v>
      </c>
      <c r="W40" s="20">
        <v>0</v>
      </c>
      <c r="X40" s="20">
        <v>0</v>
      </c>
      <c r="Y40" s="20">
        <v>0</v>
      </c>
      <c r="Z40" s="20">
        <v>0</v>
      </c>
      <c r="AA40" s="20">
        <v>20000</v>
      </c>
      <c r="AB40" s="20">
        <v>20000</v>
      </c>
      <c r="AC40" s="21">
        <v>40000</v>
      </c>
    </row>
    <row r="41" spans="1:29" x14ac:dyDescent="0.25">
      <c r="F41" s="16"/>
      <c r="G41" s="33" t="s">
        <v>108</v>
      </c>
      <c r="H41" s="20">
        <v>20000</v>
      </c>
      <c r="I41" s="20">
        <v>20000</v>
      </c>
      <c r="J41" s="20">
        <v>40000</v>
      </c>
      <c r="K41" s="20">
        <v>0</v>
      </c>
      <c r="L41" s="20">
        <v>0</v>
      </c>
      <c r="M41" s="20">
        <v>0</v>
      </c>
      <c r="N41" s="20">
        <v>0</v>
      </c>
      <c r="O41" s="20">
        <v>0</v>
      </c>
      <c r="P41" s="20">
        <v>0</v>
      </c>
      <c r="Q41" s="20">
        <v>0</v>
      </c>
      <c r="R41" s="20">
        <v>0</v>
      </c>
      <c r="S41" s="20">
        <v>0</v>
      </c>
      <c r="T41" s="20">
        <v>0</v>
      </c>
      <c r="U41" s="20">
        <v>0</v>
      </c>
      <c r="V41" s="20">
        <v>0</v>
      </c>
      <c r="W41" s="20">
        <v>0</v>
      </c>
      <c r="X41" s="20">
        <v>0</v>
      </c>
      <c r="Y41" s="20">
        <v>0</v>
      </c>
      <c r="Z41" s="20">
        <v>0</v>
      </c>
      <c r="AA41" s="20">
        <v>20000</v>
      </c>
      <c r="AB41" s="20">
        <v>20000</v>
      </c>
      <c r="AC41" s="21">
        <v>40000</v>
      </c>
    </row>
    <row r="42" spans="1:29" x14ac:dyDescent="0.25">
      <c r="F42" s="16"/>
      <c r="G42" s="31" t="s">
        <v>106</v>
      </c>
      <c r="H42" s="20">
        <v>20000</v>
      </c>
      <c r="I42" s="20">
        <v>20000</v>
      </c>
      <c r="J42" s="20">
        <v>40000</v>
      </c>
      <c r="K42" s="20">
        <v>0</v>
      </c>
      <c r="L42" s="20">
        <v>0</v>
      </c>
      <c r="M42" s="20">
        <v>0</v>
      </c>
      <c r="N42" s="20">
        <v>0</v>
      </c>
      <c r="O42" s="20">
        <v>0</v>
      </c>
      <c r="P42" s="20">
        <v>0</v>
      </c>
      <c r="Q42" s="20">
        <v>0</v>
      </c>
      <c r="R42" s="20">
        <v>0</v>
      </c>
      <c r="S42" s="20">
        <v>0</v>
      </c>
      <c r="T42" s="20">
        <v>0</v>
      </c>
      <c r="U42" s="20">
        <v>0</v>
      </c>
      <c r="V42" s="20">
        <v>0</v>
      </c>
      <c r="W42" s="20">
        <v>0</v>
      </c>
      <c r="X42" s="20">
        <v>0</v>
      </c>
      <c r="Y42" s="20">
        <v>0</v>
      </c>
      <c r="Z42" s="20">
        <v>0</v>
      </c>
      <c r="AA42" s="20">
        <v>20000</v>
      </c>
      <c r="AB42" s="20">
        <v>20000</v>
      </c>
      <c r="AC42" s="21">
        <v>40000</v>
      </c>
    </row>
    <row r="43" spans="1:29" s="15" customFormat="1" ht="14.25" x14ac:dyDescent="0.2">
      <c r="A43" s="13"/>
      <c r="B43" s="14"/>
      <c r="F43" s="18">
        <v>2</v>
      </c>
      <c r="G43" s="29" t="s">
        <v>181</v>
      </c>
      <c r="H43" s="22">
        <v>40000</v>
      </c>
      <c r="I43" s="22">
        <v>40000</v>
      </c>
      <c r="J43" s="22">
        <v>80000</v>
      </c>
      <c r="K43" s="22">
        <v>0</v>
      </c>
      <c r="L43" s="22">
        <v>0</v>
      </c>
      <c r="M43" s="22">
        <v>0</v>
      </c>
      <c r="N43" s="22">
        <v>0</v>
      </c>
      <c r="O43" s="22">
        <v>0</v>
      </c>
      <c r="P43" s="22">
        <v>0</v>
      </c>
      <c r="Q43" s="22">
        <v>0</v>
      </c>
      <c r="R43" s="22">
        <v>0</v>
      </c>
      <c r="S43" s="22">
        <v>0</v>
      </c>
      <c r="T43" s="22">
        <v>0</v>
      </c>
      <c r="U43" s="22">
        <v>0</v>
      </c>
      <c r="V43" s="22">
        <v>0</v>
      </c>
      <c r="W43" s="22">
        <v>0</v>
      </c>
      <c r="X43" s="22">
        <v>0</v>
      </c>
      <c r="Y43" s="22">
        <v>0</v>
      </c>
      <c r="Z43" s="22">
        <v>0</v>
      </c>
      <c r="AA43" s="22">
        <v>40000</v>
      </c>
      <c r="AB43" s="22">
        <v>40000</v>
      </c>
      <c r="AC43" s="23">
        <v>80000</v>
      </c>
    </row>
    <row r="44" spans="1:29" x14ac:dyDescent="0.25">
      <c r="F44" s="16"/>
      <c r="G44" s="30" t="s">
        <v>118</v>
      </c>
      <c r="H44" s="20">
        <v>20000</v>
      </c>
      <c r="I44" s="20">
        <v>20000</v>
      </c>
      <c r="J44" s="20">
        <v>40000</v>
      </c>
      <c r="K44" s="20">
        <v>0</v>
      </c>
      <c r="L44" s="20">
        <v>0</v>
      </c>
      <c r="M44" s="20">
        <v>0</v>
      </c>
      <c r="N44" s="20">
        <v>0</v>
      </c>
      <c r="O44" s="20">
        <v>0</v>
      </c>
      <c r="P44" s="20">
        <v>0</v>
      </c>
      <c r="Q44" s="20">
        <v>0</v>
      </c>
      <c r="R44" s="20">
        <v>0</v>
      </c>
      <c r="S44" s="20">
        <v>0</v>
      </c>
      <c r="T44" s="20">
        <v>0</v>
      </c>
      <c r="U44" s="20">
        <v>0</v>
      </c>
      <c r="V44" s="20">
        <v>0</v>
      </c>
      <c r="W44" s="20">
        <v>0</v>
      </c>
      <c r="X44" s="20">
        <v>0</v>
      </c>
      <c r="Y44" s="20">
        <v>0</v>
      </c>
      <c r="Z44" s="20">
        <v>0</v>
      </c>
      <c r="AA44" s="20">
        <v>20000</v>
      </c>
      <c r="AB44" s="20">
        <v>20000</v>
      </c>
      <c r="AC44" s="21">
        <v>40000</v>
      </c>
    </row>
    <row r="45" spans="1:29" x14ac:dyDescent="0.25">
      <c r="F45" s="16"/>
      <c r="G45" s="31" t="s">
        <v>116</v>
      </c>
      <c r="H45" s="20">
        <v>20000</v>
      </c>
      <c r="I45" s="20">
        <v>20000</v>
      </c>
      <c r="J45" s="20">
        <v>40000</v>
      </c>
      <c r="K45" s="20">
        <v>0</v>
      </c>
      <c r="L45" s="20">
        <v>0</v>
      </c>
      <c r="M45" s="20">
        <v>0</v>
      </c>
      <c r="N45" s="20">
        <v>0</v>
      </c>
      <c r="O45" s="20">
        <v>0</v>
      </c>
      <c r="P45" s="20">
        <v>0</v>
      </c>
      <c r="Q45" s="20">
        <v>0</v>
      </c>
      <c r="R45" s="20">
        <v>0</v>
      </c>
      <c r="S45" s="20">
        <v>0</v>
      </c>
      <c r="T45" s="20">
        <v>0</v>
      </c>
      <c r="U45" s="20">
        <v>0</v>
      </c>
      <c r="V45" s="20">
        <v>0</v>
      </c>
      <c r="W45" s="20">
        <v>0</v>
      </c>
      <c r="X45" s="20">
        <v>0</v>
      </c>
      <c r="Y45" s="20">
        <v>0</v>
      </c>
      <c r="Z45" s="20">
        <v>0</v>
      </c>
      <c r="AA45" s="20">
        <v>20000</v>
      </c>
      <c r="AB45" s="20">
        <v>20000</v>
      </c>
      <c r="AC45" s="21">
        <v>40000</v>
      </c>
    </row>
    <row r="46" spans="1:29" s="15" customFormat="1" ht="14.25" x14ac:dyDescent="0.2">
      <c r="A46" s="13"/>
      <c r="B46" s="14"/>
      <c r="F46" s="18">
        <v>3</v>
      </c>
      <c r="G46" s="29" t="s">
        <v>186</v>
      </c>
      <c r="H46" s="22">
        <v>100000</v>
      </c>
      <c r="I46" s="22">
        <v>100000</v>
      </c>
      <c r="J46" s="22">
        <v>200000</v>
      </c>
      <c r="K46" s="22">
        <v>0</v>
      </c>
      <c r="L46" s="22">
        <v>0</v>
      </c>
      <c r="M46" s="22">
        <v>0</v>
      </c>
      <c r="N46" s="22">
        <v>0</v>
      </c>
      <c r="O46" s="22">
        <v>0</v>
      </c>
      <c r="P46" s="22">
        <v>0</v>
      </c>
      <c r="Q46" s="22">
        <v>0</v>
      </c>
      <c r="R46" s="22">
        <v>0</v>
      </c>
      <c r="S46" s="22">
        <v>0</v>
      </c>
      <c r="T46" s="22">
        <v>0</v>
      </c>
      <c r="U46" s="22">
        <v>0</v>
      </c>
      <c r="V46" s="22">
        <v>0</v>
      </c>
      <c r="W46" s="22">
        <v>0</v>
      </c>
      <c r="X46" s="22">
        <v>0</v>
      </c>
      <c r="Y46" s="22">
        <v>0</v>
      </c>
      <c r="Z46" s="22">
        <v>0</v>
      </c>
      <c r="AA46" s="22">
        <v>100000</v>
      </c>
      <c r="AB46" s="22">
        <v>100000</v>
      </c>
      <c r="AC46" s="23">
        <v>200000</v>
      </c>
    </row>
    <row r="47" spans="1:29" x14ac:dyDescent="0.25">
      <c r="F47" s="16"/>
      <c r="G47" s="30" t="s">
        <v>110</v>
      </c>
      <c r="H47" s="20">
        <v>20000</v>
      </c>
      <c r="I47" s="20">
        <v>20000</v>
      </c>
      <c r="J47" s="20">
        <v>40000</v>
      </c>
      <c r="K47" s="20">
        <v>0</v>
      </c>
      <c r="L47" s="20">
        <v>0</v>
      </c>
      <c r="M47" s="20">
        <v>0</v>
      </c>
      <c r="N47" s="20">
        <v>0</v>
      </c>
      <c r="O47" s="20">
        <v>0</v>
      </c>
      <c r="P47" s="20">
        <v>0</v>
      </c>
      <c r="Q47" s="20">
        <v>0</v>
      </c>
      <c r="R47" s="20">
        <v>0</v>
      </c>
      <c r="S47" s="20">
        <v>0</v>
      </c>
      <c r="T47" s="20">
        <v>0</v>
      </c>
      <c r="U47" s="20">
        <v>0</v>
      </c>
      <c r="V47" s="20">
        <v>0</v>
      </c>
      <c r="W47" s="20">
        <v>0</v>
      </c>
      <c r="X47" s="20">
        <v>0</v>
      </c>
      <c r="Y47" s="20">
        <v>0</v>
      </c>
      <c r="Z47" s="20">
        <v>0</v>
      </c>
      <c r="AA47" s="20">
        <v>20000</v>
      </c>
      <c r="AB47" s="20">
        <v>20000</v>
      </c>
      <c r="AC47" s="21">
        <v>40000</v>
      </c>
    </row>
    <row r="48" spans="1:29" x14ac:dyDescent="0.25">
      <c r="F48" s="16"/>
      <c r="G48" s="33" t="s">
        <v>114</v>
      </c>
      <c r="H48" s="20">
        <v>20000</v>
      </c>
      <c r="I48" s="20">
        <v>20000</v>
      </c>
      <c r="J48" s="20">
        <v>40000</v>
      </c>
      <c r="K48" s="20">
        <v>0</v>
      </c>
      <c r="L48" s="20">
        <v>0</v>
      </c>
      <c r="M48" s="20">
        <v>0</v>
      </c>
      <c r="N48" s="20">
        <v>0</v>
      </c>
      <c r="O48" s="20">
        <v>0</v>
      </c>
      <c r="P48" s="20">
        <v>0</v>
      </c>
      <c r="Q48" s="20">
        <v>0</v>
      </c>
      <c r="R48" s="20">
        <v>0</v>
      </c>
      <c r="S48" s="20">
        <v>0</v>
      </c>
      <c r="T48" s="20">
        <v>0</v>
      </c>
      <c r="U48" s="20">
        <v>0</v>
      </c>
      <c r="V48" s="20">
        <v>0</v>
      </c>
      <c r="W48" s="20">
        <v>0</v>
      </c>
      <c r="X48" s="20">
        <v>0</v>
      </c>
      <c r="Y48" s="20">
        <v>0</v>
      </c>
      <c r="Z48" s="20">
        <v>0</v>
      </c>
      <c r="AA48" s="20">
        <v>20000</v>
      </c>
      <c r="AB48" s="20">
        <v>20000</v>
      </c>
      <c r="AC48" s="21">
        <v>40000</v>
      </c>
    </row>
    <row r="49" spans="1:29" x14ac:dyDescent="0.25">
      <c r="F49" s="16"/>
      <c r="G49" s="33" t="s">
        <v>112</v>
      </c>
      <c r="H49" s="20">
        <v>20000</v>
      </c>
      <c r="I49" s="20">
        <v>20000</v>
      </c>
      <c r="J49" s="20">
        <v>40000</v>
      </c>
      <c r="K49" s="20">
        <v>0</v>
      </c>
      <c r="L49" s="20">
        <v>0</v>
      </c>
      <c r="M49" s="20">
        <v>0</v>
      </c>
      <c r="N49" s="20">
        <v>0</v>
      </c>
      <c r="O49" s="20">
        <v>0</v>
      </c>
      <c r="P49" s="20">
        <v>0</v>
      </c>
      <c r="Q49" s="20">
        <v>0</v>
      </c>
      <c r="R49" s="20">
        <v>0</v>
      </c>
      <c r="S49" s="20">
        <v>0</v>
      </c>
      <c r="T49" s="20">
        <v>0</v>
      </c>
      <c r="U49" s="20">
        <v>0</v>
      </c>
      <c r="V49" s="20">
        <v>0</v>
      </c>
      <c r="W49" s="20">
        <v>0</v>
      </c>
      <c r="X49" s="20">
        <v>0</v>
      </c>
      <c r="Y49" s="20">
        <v>0</v>
      </c>
      <c r="Z49" s="20">
        <v>0</v>
      </c>
      <c r="AA49" s="20">
        <v>20000</v>
      </c>
      <c r="AB49" s="20">
        <v>20000</v>
      </c>
      <c r="AC49" s="21">
        <v>40000</v>
      </c>
    </row>
    <row r="50" spans="1:29" x14ac:dyDescent="0.25">
      <c r="F50" s="16"/>
      <c r="G50" s="33" t="s">
        <v>113</v>
      </c>
      <c r="H50" s="20">
        <v>20000</v>
      </c>
      <c r="I50" s="20">
        <v>20000</v>
      </c>
      <c r="J50" s="20">
        <v>40000</v>
      </c>
      <c r="K50" s="20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0">
        <v>0</v>
      </c>
      <c r="S50" s="20">
        <v>0</v>
      </c>
      <c r="T50" s="20">
        <v>0</v>
      </c>
      <c r="U50" s="20">
        <v>0</v>
      </c>
      <c r="V50" s="20">
        <v>0</v>
      </c>
      <c r="W50" s="20">
        <v>0</v>
      </c>
      <c r="X50" s="20">
        <v>0</v>
      </c>
      <c r="Y50" s="20">
        <v>0</v>
      </c>
      <c r="Z50" s="20">
        <v>0</v>
      </c>
      <c r="AA50" s="20">
        <v>20000</v>
      </c>
      <c r="AB50" s="20">
        <v>20000</v>
      </c>
      <c r="AC50" s="21">
        <v>40000</v>
      </c>
    </row>
    <row r="51" spans="1:29" x14ac:dyDescent="0.25">
      <c r="F51" s="16"/>
      <c r="G51" s="31" t="s">
        <v>115</v>
      </c>
      <c r="H51" s="20">
        <v>20000</v>
      </c>
      <c r="I51" s="20">
        <v>20000</v>
      </c>
      <c r="J51" s="20">
        <v>40000</v>
      </c>
      <c r="K51" s="20">
        <v>0</v>
      </c>
      <c r="L51" s="20">
        <v>0</v>
      </c>
      <c r="M51" s="20">
        <v>0</v>
      </c>
      <c r="N51" s="20">
        <v>0</v>
      </c>
      <c r="O51" s="20">
        <v>0</v>
      </c>
      <c r="P51" s="20">
        <v>0</v>
      </c>
      <c r="Q51" s="20">
        <v>0</v>
      </c>
      <c r="R51" s="20">
        <v>0</v>
      </c>
      <c r="S51" s="20">
        <v>0</v>
      </c>
      <c r="T51" s="20">
        <v>0</v>
      </c>
      <c r="U51" s="20">
        <v>0</v>
      </c>
      <c r="V51" s="20">
        <v>0</v>
      </c>
      <c r="W51" s="20">
        <v>0</v>
      </c>
      <c r="X51" s="20">
        <v>0</v>
      </c>
      <c r="Y51" s="20">
        <v>0</v>
      </c>
      <c r="Z51" s="20">
        <v>0</v>
      </c>
      <c r="AA51" s="20">
        <v>20000</v>
      </c>
      <c r="AB51" s="20">
        <v>20000</v>
      </c>
      <c r="AC51" s="21">
        <v>40000</v>
      </c>
    </row>
    <row r="52" spans="1:29" s="15" customFormat="1" ht="14.25" x14ac:dyDescent="0.2">
      <c r="A52" s="13"/>
      <c r="B52" s="14"/>
      <c r="F52" s="18">
        <v>4</v>
      </c>
      <c r="G52" s="29" t="s">
        <v>183</v>
      </c>
      <c r="H52" s="22">
        <v>120000</v>
      </c>
      <c r="I52" s="22">
        <v>120000</v>
      </c>
      <c r="J52" s="22">
        <v>240000</v>
      </c>
      <c r="K52" s="22">
        <v>0</v>
      </c>
      <c r="L52" s="22">
        <v>0</v>
      </c>
      <c r="M52" s="22">
        <v>0</v>
      </c>
      <c r="N52" s="22">
        <v>0</v>
      </c>
      <c r="O52" s="22">
        <v>0</v>
      </c>
      <c r="P52" s="22">
        <v>0</v>
      </c>
      <c r="Q52" s="22">
        <v>0</v>
      </c>
      <c r="R52" s="22">
        <v>0</v>
      </c>
      <c r="S52" s="22">
        <v>0</v>
      </c>
      <c r="T52" s="22">
        <v>0</v>
      </c>
      <c r="U52" s="22">
        <v>0</v>
      </c>
      <c r="V52" s="22">
        <v>0</v>
      </c>
      <c r="W52" s="22">
        <v>0</v>
      </c>
      <c r="X52" s="22">
        <v>0</v>
      </c>
      <c r="Y52" s="22">
        <v>0</v>
      </c>
      <c r="Z52" s="22">
        <v>0</v>
      </c>
      <c r="AA52" s="22">
        <v>120000</v>
      </c>
      <c r="AB52" s="22">
        <v>120000</v>
      </c>
      <c r="AC52" s="23">
        <v>240000</v>
      </c>
    </row>
    <row r="53" spans="1:29" x14ac:dyDescent="0.25">
      <c r="F53" s="16"/>
      <c r="G53" s="30" t="s">
        <v>122</v>
      </c>
      <c r="H53" s="20">
        <v>20000</v>
      </c>
      <c r="I53" s="20">
        <v>20000</v>
      </c>
      <c r="J53" s="20">
        <v>40000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0">
        <v>0</v>
      </c>
      <c r="AA53" s="20">
        <v>20000</v>
      </c>
      <c r="AB53" s="20">
        <v>20000</v>
      </c>
      <c r="AC53" s="21">
        <v>40000</v>
      </c>
    </row>
    <row r="54" spans="1:29" x14ac:dyDescent="0.25">
      <c r="F54" s="16"/>
      <c r="G54" s="33" t="s">
        <v>119</v>
      </c>
      <c r="H54" s="20">
        <v>20000</v>
      </c>
      <c r="I54" s="20">
        <v>20000</v>
      </c>
      <c r="J54" s="20">
        <v>40000</v>
      </c>
      <c r="K54" s="20">
        <v>0</v>
      </c>
      <c r="L54" s="20">
        <v>0</v>
      </c>
      <c r="M54" s="20">
        <v>0</v>
      </c>
      <c r="N54" s="20">
        <v>0</v>
      </c>
      <c r="O54" s="20">
        <v>0</v>
      </c>
      <c r="P54" s="20">
        <v>0</v>
      </c>
      <c r="Q54" s="20">
        <v>0</v>
      </c>
      <c r="R54" s="20">
        <v>0</v>
      </c>
      <c r="S54" s="20">
        <v>0</v>
      </c>
      <c r="T54" s="20">
        <v>0</v>
      </c>
      <c r="U54" s="20">
        <v>0</v>
      </c>
      <c r="V54" s="20">
        <v>0</v>
      </c>
      <c r="W54" s="20">
        <v>0</v>
      </c>
      <c r="X54" s="20">
        <v>0</v>
      </c>
      <c r="Y54" s="20">
        <v>0</v>
      </c>
      <c r="Z54" s="20">
        <v>0</v>
      </c>
      <c r="AA54" s="20">
        <v>20000</v>
      </c>
      <c r="AB54" s="20">
        <v>20000</v>
      </c>
      <c r="AC54" s="21">
        <v>40000</v>
      </c>
    </row>
    <row r="55" spans="1:29" x14ac:dyDescent="0.25">
      <c r="F55" s="16"/>
      <c r="G55" s="33" t="s">
        <v>123</v>
      </c>
      <c r="H55" s="20">
        <v>20000</v>
      </c>
      <c r="I55" s="20">
        <v>20000</v>
      </c>
      <c r="J55" s="20">
        <v>40000</v>
      </c>
      <c r="K55" s="20">
        <v>0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0</v>
      </c>
      <c r="S55" s="20">
        <v>0</v>
      </c>
      <c r="T55" s="20">
        <v>0</v>
      </c>
      <c r="U55" s="20">
        <v>0</v>
      </c>
      <c r="V55" s="20">
        <v>0</v>
      </c>
      <c r="W55" s="20">
        <v>0</v>
      </c>
      <c r="X55" s="20">
        <v>0</v>
      </c>
      <c r="Y55" s="20">
        <v>0</v>
      </c>
      <c r="Z55" s="20">
        <v>0</v>
      </c>
      <c r="AA55" s="20">
        <v>20000</v>
      </c>
      <c r="AB55" s="20">
        <v>20000</v>
      </c>
      <c r="AC55" s="21">
        <v>40000</v>
      </c>
    </row>
    <row r="56" spans="1:29" x14ac:dyDescent="0.25">
      <c r="F56" s="16"/>
      <c r="G56" s="33" t="s">
        <v>124</v>
      </c>
      <c r="H56" s="20">
        <v>20000</v>
      </c>
      <c r="I56" s="20">
        <v>20000</v>
      </c>
      <c r="J56" s="20">
        <v>40000</v>
      </c>
      <c r="K56" s="20">
        <v>0</v>
      </c>
      <c r="L56" s="20">
        <v>0</v>
      </c>
      <c r="M56" s="20">
        <v>0</v>
      </c>
      <c r="N56" s="20">
        <v>0</v>
      </c>
      <c r="O56" s="20">
        <v>0</v>
      </c>
      <c r="P56" s="20">
        <v>0</v>
      </c>
      <c r="Q56" s="20">
        <v>0</v>
      </c>
      <c r="R56" s="20">
        <v>0</v>
      </c>
      <c r="S56" s="20">
        <v>0</v>
      </c>
      <c r="T56" s="20">
        <v>0</v>
      </c>
      <c r="U56" s="20">
        <v>0</v>
      </c>
      <c r="V56" s="20">
        <v>0</v>
      </c>
      <c r="W56" s="20">
        <v>0</v>
      </c>
      <c r="X56" s="20">
        <v>0</v>
      </c>
      <c r="Y56" s="20">
        <v>0</v>
      </c>
      <c r="Z56" s="20">
        <v>0</v>
      </c>
      <c r="AA56" s="20">
        <v>20000</v>
      </c>
      <c r="AB56" s="20">
        <v>20000</v>
      </c>
      <c r="AC56" s="21">
        <v>40000</v>
      </c>
    </row>
    <row r="57" spans="1:29" x14ac:dyDescent="0.25">
      <c r="F57" s="16"/>
      <c r="G57" s="33" t="s">
        <v>121</v>
      </c>
      <c r="H57" s="20">
        <v>20000</v>
      </c>
      <c r="I57" s="20">
        <v>20000</v>
      </c>
      <c r="J57" s="20">
        <v>40000</v>
      </c>
      <c r="K57" s="20">
        <v>0</v>
      </c>
      <c r="L57" s="20">
        <v>0</v>
      </c>
      <c r="M57" s="20">
        <v>0</v>
      </c>
      <c r="N57" s="20">
        <v>0</v>
      </c>
      <c r="O57" s="20">
        <v>0</v>
      </c>
      <c r="P57" s="20">
        <v>0</v>
      </c>
      <c r="Q57" s="20">
        <v>0</v>
      </c>
      <c r="R57" s="20">
        <v>0</v>
      </c>
      <c r="S57" s="20">
        <v>0</v>
      </c>
      <c r="T57" s="20">
        <v>0</v>
      </c>
      <c r="U57" s="20">
        <v>0</v>
      </c>
      <c r="V57" s="20">
        <v>0</v>
      </c>
      <c r="W57" s="20">
        <v>0</v>
      </c>
      <c r="X57" s="20">
        <v>0</v>
      </c>
      <c r="Y57" s="20">
        <v>0</v>
      </c>
      <c r="Z57" s="20">
        <v>0</v>
      </c>
      <c r="AA57" s="20">
        <v>20000</v>
      </c>
      <c r="AB57" s="20">
        <v>20000</v>
      </c>
      <c r="AC57" s="21">
        <v>40000</v>
      </c>
    </row>
    <row r="58" spans="1:29" x14ac:dyDescent="0.25">
      <c r="F58" s="16"/>
      <c r="G58" s="31" t="s">
        <v>125</v>
      </c>
      <c r="H58" s="20">
        <v>20000</v>
      </c>
      <c r="I58" s="20">
        <v>20000</v>
      </c>
      <c r="J58" s="20">
        <v>40000</v>
      </c>
      <c r="K58" s="20">
        <v>0</v>
      </c>
      <c r="L58" s="20">
        <v>0</v>
      </c>
      <c r="M58" s="20">
        <v>0</v>
      </c>
      <c r="N58" s="20">
        <v>0</v>
      </c>
      <c r="O58" s="20">
        <v>0</v>
      </c>
      <c r="P58" s="20">
        <v>0</v>
      </c>
      <c r="Q58" s="20">
        <v>0</v>
      </c>
      <c r="R58" s="20">
        <v>0</v>
      </c>
      <c r="S58" s="20">
        <v>0</v>
      </c>
      <c r="T58" s="20">
        <v>0</v>
      </c>
      <c r="U58" s="20">
        <v>0</v>
      </c>
      <c r="V58" s="20">
        <v>0</v>
      </c>
      <c r="W58" s="20">
        <v>0</v>
      </c>
      <c r="X58" s="20">
        <v>0</v>
      </c>
      <c r="Y58" s="20">
        <v>0</v>
      </c>
      <c r="Z58" s="20">
        <v>0</v>
      </c>
      <c r="AA58" s="20">
        <v>20000</v>
      </c>
      <c r="AB58" s="20">
        <v>20000</v>
      </c>
      <c r="AC58" s="21">
        <v>40000</v>
      </c>
    </row>
    <row r="59" spans="1:29" s="15" customFormat="1" ht="14.25" x14ac:dyDescent="0.2">
      <c r="A59" s="13"/>
      <c r="B59" s="14"/>
      <c r="F59" s="18" t="s">
        <v>212</v>
      </c>
      <c r="G59" s="28" t="s">
        <v>189</v>
      </c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3"/>
    </row>
    <row r="60" spans="1:29" s="15" customFormat="1" ht="14.25" x14ac:dyDescent="0.2">
      <c r="A60" s="13"/>
      <c r="B60" s="14"/>
      <c r="F60" s="18">
        <v>1</v>
      </c>
      <c r="G60" s="29" t="s">
        <v>185</v>
      </c>
      <c r="H60" s="22">
        <v>100000</v>
      </c>
      <c r="I60" s="22">
        <v>100000</v>
      </c>
      <c r="J60" s="22">
        <v>200000</v>
      </c>
      <c r="K60" s="22">
        <v>0</v>
      </c>
      <c r="L60" s="22">
        <v>0</v>
      </c>
      <c r="M60" s="22">
        <v>0</v>
      </c>
      <c r="N60" s="22">
        <v>0</v>
      </c>
      <c r="O60" s="22">
        <v>0</v>
      </c>
      <c r="P60" s="22">
        <v>0</v>
      </c>
      <c r="Q60" s="22">
        <v>0</v>
      </c>
      <c r="R60" s="22">
        <v>0</v>
      </c>
      <c r="S60" s="22">
        <v>0</v>
      </c>
      <c r="T60" s="22">
        <v>0</v>
      </c>
      <c r="U60" s="22">
        <v>0</v>
      </c>
      <c r="V60" s="22">
        <v>0</v>
      </c>
      <c r="W60" s="22">
        <v>0</v>
      </c>
      <c r="X60" s="22">
        <v>0</v>
      </c>
      <c r="Y60" s="22">
        <v>0</v>
      </c>
      <c r="Z60" s="22">
        <v>0</v>
      </c>
      <c r="AA60" s="22">
        <v>100000</v>
      </c>
      <c r="AB60" s="22">
        <v>100000</v>
      </c>
      <c r="AC60" s="23">
        <v>200000</v>
      </c>
    </row>
    <row r="61" spans="1:29" x14ac:dyDescent="0.25">
      <c r="F61" s="16"/>
      <c r="G61" s="30" t="s">
        <v>60</v>
      </c>
      <c r="H61" s="20">
        <v>20000</v>
      </c>
      <c r="I61" s="20">
        <v>20000</v>
      </c>
      <c r="J61" s="20">
        <v>40000</v>
      </c>
      <c r="K61" s="20">
        <v>0</v>
      </c>
      <c r="L61" s="20">
        <v>0</v>
      </c>
      <c r="M61" s="20">
        <v>0</v>
      </c>
      <c r="N61" s="20">
        <v>0</v>
      </c>
      <c r="O61" s="20">
        <v>0</v>
      </c>
      <c r="P61" s="20">
        <v>0</v>
      </c>
      <c r="Q61" s="20">
        <v>0</v>
      </c>
      <c r="R61" s="20">
        <v>0</v>
      </c>
      <c r="S61" s="20">
        <v>0</v>
      </c>
      <c r="T61" s="20">
        <v>0</v>
      </c>
      <c r="U61" s="20">
        <v>0</v>
      </c>
      <c r="V61" s="20">
        <v>0</v>
      </c>
      <c r="W61" s="20">
        <v>0</v>
      </c>
      <c r="X61" s="20">
        <v>0</v>
      </c>
      <c r="Y61" s="20">
        <v>0</v>
      </c>
      <c r="Z61" s="20">
        <v>0</v>
      </c>
      <c r="AA61" s="20">
        <v>20000</v>
      </c>
      <c r="AB61" s="20">
        <v>20000</v>
      </c>
      <c r="AC61" s="21">
        <v>40000</v>
      </c>
    </row>
    <row r="62" spans="1:29" x14ac:dyDescent="0.25">
      <c r="F62" s="16"/>
      <c r="G62" s="33" t="s">
        <v>61</v>
      </c>
      <c r="H62" s="20">
        <v>20000</v>
      </c>
      <c r="I62" s="20">
        <v>20000</v>
      </c>
      <c r="J62" s="20">
        <v>40000</v>
      </c>
      <c r="K62" s="20">
        <v>0</v>
      </c>
      <c r="L62" s="20">
        <v>0</v>
      </c>
      <c r="M62" s="20">
        <v>0</v>
      </c>
      <c r="N62" s="20">
        <v>0</v>
      </c>
      <c r="O62" s="20">
        <v>0</v>
      </c>
      <c r="P62" s="20">
        <v>0</v>
      </c>
      <c r="Q62" s="20">
        <v>0</v>
      </c>
      <c r="R62" s="20">
        <v>0</v>
      </c>
      <c r="S62" s="20">
        <v>0</v>
      </c>
      <c r="T62" s="20">
        <v>0</v>
      </c>
      <c r="U62" s="20">
        <v>0</v>
      </c>
      <c r="V62" s="20">
        <v>0</v>
      </c>
      <c r="W62" s="20">
        <v>0</v>
      </c>
      <c r="X62" s="20">
        <v>0</v>
      </c>
      <c r="Y62" s="20">
        <v>0</v>
      </c>
      <c r="Z62" s="20">
        <v>0</v>
      </c>
      <c r="AA62" s="20">
        <v>20000</v>
      </c>
      <c r="AB62" s="20">
        <v>20000</v>
      </c>
      <c r="AC62" s="21">
        <v>40000</v>
      </c>
    </row>
    <row r="63" spans="1:29" x14ac:dyDescent="0.25">
      <c r="F63" s="16"/>
      <c r="G63" s="33" t="s">
        <v>47</v>
      </c>
      <c r="H63" s="20">
        <v>20000</v>
      </c>
      <c r="I63" s="20">
        <v>20000</v>
      </c>
      <c r="J63" s="20">
        <v>40000</v>
      </c>
      <c r="K63" s="20">
        <v>0</v>
      </c>
      <c r="L63" s="20">
        <v>0</v>
      </c>
      <c r="M63" s="20">
        <v>0</v>
      </c>
      <c r="N63" s="20">
        <v>0</v>
      </c>
      <c r="O63" s="20">
        <v>0</v>
      </c>
      <c r="P63" s="20">
        <v>0</v>
      </c>
      <c r="Q63" s="20">
        <v>0</v>
      </c>
      <c r="R63" s="20">
        <v>0</v>
      </c>
      <c r="S63" s="20">
        <v>0</v>
      </c>
      <c r="T63" s="20">
        <v>0</v>
      </c>
      <c r="U63" s="20">
        <v>0</v>
      </c>
      <c r="V63" s="20">
        <v>0</v>
      </c>
      <c r="W63" s="20">
        <v>0</v>
      </c>
      <c r="X63" s="20">
        <v>0</v>
      </c>
      <c r="Y63" s="20">
        <v>0</v>
      </c>
      <c r="Z63" s="20">
        <v>0</v>
      </c>
      <c r="AA63" s="20">
        <v>20000</v>
      </c>
      <c r="AB63" s="20">
        <v>20000</v>
      </c>
      <c r="AC63" s="21">
        <v>40000</v>
      </c>
    </row>
    <row r="64" spans="1:29" x14ac:dyDescent="0.25">
      <c r="F64" s="16"/>
      <c r="G64" s="33" t="s">
        <v>56</v>
      </c>
      <c r="H64" s="20">
        <v>20000</v>
      </c>
      <c r="I64" s="20">
        <v>20000</v>
      </c>
      <c r="J64" s="20">
        <v>40000</v>
      </c>
      <c r="K64" s="20">
        <v>0</v>
      </c>
      <c r="L64" s="20">
        <v>0</v>
      </c>
      <c r="M64" s="20">
        <v>0</v>
      </c>
      <c r="N64" s="20">
        <v>0</v>
      </c>
      <c r="O64" s="20">
        <v>0</v>
      </c>
      <c r="P64" s="20">
        <v>0</v>
      </c>
      <c r="Q64" s="20">
        <v>0</v>
      </c>
      <c r="R64" s="20">
        <v>0</v>
      </c>
      <c r="S64" s="20">
        <v>0</v>
      </c>
      <c r="T64" s="20">
        <v>0</v>
      </c>
      <c r="U64" s="20">
        <v>0</v>
      </c>
      <c r="V64" s="20">
        <v>0</v>
      </c>
      <c r="W64" s="20">
        <v>0</v>
      </c>
      <c r="X64" s="20">
        <v>0</v>
      </c>
      <c r="Y64" s="20">
        <v>0</v>
      </c>
      <c r="Z64" s="20">
        <v>0</v>
      </c>
      <c r="AA64" s="20">
        <v>20000</v>
      </c>
      <c r="AB64" s="20">
        <v>20000</v>
      </c>
      <c r="AC64" s="21">
        <v>40000</v>
      </c>
    </row>
    <row r="65" spans="1:29" x14ac:dyDescent="0.25">
      <c r="F65" s="16"/>
      <c r="G65" s="31" t="s">
        <v>62</v>
      </c>
      <c r="H65" s="20">
        <v>20000</v>
      </c>
      <c r="I65" s="20">
        <v>20000</v>
      </c>
      <c r="J65" s="20">
        <v>40000</v>
      </c>
      <c r="K65" s="20">
        <v>0</v>
      </c>
      <c r="L65" s="20">
        <v>0</v>
      </c>
      <c r="M65" s="20">
        <v>0</v>
      </c>
      <c r="N65" s="20">
        <v>0</v>
      </c>
      <c r="O65" s="20">
        <v>0</v>
      </c>
      <c r="P65" s="20">
        <v>0</v>
      </c>
      <c r="Q65" s="20">
        <v>0</v>
      </c>
      <c r="R65" s="20">
        <v>0</v>
      </c>
      <c r="S65" s="20">
        <v>0</v>
      </c>
      <c r="T65" s="20">
        <v>0</v>
      </c>
      <c r="U65" s="20">
        <v>0</v>
      </c>
      <c r="V65" s="20">
        <v>0</v>
      </c>
      <c r="W65" s="20">
        <v>0</v>
      </c>
      <c r="X65" s="20">
        <v>0</v>
      </c>
      <c r="Y65" s="20">
        <v>0</v>
      </c>
      <c r="Z65" s="20">
        <v>0</v>
      </c>
      <c r="AA65" s="20">
        <v>20000</v>
      </c>
      <c r="AB65" s="20">
        <v>20000</v>
      </c>
      <c r="AC65" s="21">
        <v>40000</v>
      </c>
    </row>
    <row r="66" spans="1:29" s="15" customFormat="1" ht="14.25" x14ac:dyDescent="0.2">
      <c r="A66" s="13"/>
      <c r="B66" s="14"/>
      <c r="F66" s="18">
        <v>2</v>
      </c>
      <c r="G66" s="29" t="s">
        <v>181</v>
      </c>
      <c r="H66" s="22">
        <v>180000</v>
      </c>
      <c r="I66" s="22">
        <v>180000</v>
      </c>
      <c r="J66" s="22">
        <v>360000</v>
      </c>
      <c r="K66" s="22">
        <v>0</v>
      </c>
      <c r="L66" s="22">
        <v>0</v>
      </c>
      <c r="M66" s="22">
        <v>0</v>
      </c>
      <c r="N66" s="22">
        <v>0</v>
      </c>
      <c r="O66" s="22">
        <v>0</v>
      </c>
      <c r="P66" s="22">
        <v>0</v>
      </c>
      <c r="Q66" s="22">
        <v>0</v>
      </c>
      <c r="R66" s="22">
        <v>0</v>
      </c>
      <c r="S66" s="22">
        <v>0</v>
      </c>
      <c r="T66" s="22">
        <v>0</v>
      </c>
      <c r="U66" s="22">
        <v>0</v>
      </c>
      <c r="V66" s="22">
        <v>0</v>
      </c>
      <c r="W66" s="22">
        <v>0</v>
      </c>
      <c r="X66" s="22">
        <v>0</v>
      </c>
      <c r="Y66" s="22">
        <v>0</v>
      </c>
      <c r="Z66" s="22">
        <v>0</v>
      </c>
      <c r="AA66" s="22">
        <v>180000</v>
      </c>
      <c r="AB66" s="22">
        <v>180000</v>
      </c>
      <c r="AC66" s="23">
        <v>360000</v>
      </c>
    </row>
    <row r="67" spans="1:29" x14ac:dyDescent="0.25">
      <c r="F67" s="16"/>
      <c r="G67" s="30" t="s">
        <v>67</v>
      </c>
      <c r="H67" s="20">
        <v>20000</v>
      </c>
      <c r="I67" s="20">
        <v>20000</v>
      </c>
      <c r="J67" s="20">
        <v>40000</v>
      </c>
      <c r="K67" s="20">
        <v>0</v>
      </c>
      <c r="L67" s="20">
        <v>0</v>
      </c>
      <c r="M67" s="20">
        <v>0</v>
      </c>
      <c r="N67" s="20">
        <v>0</v>
      </c>
      <c r="O67" s="20">
        <v>0</v>
      </c>
      <c r="P67" s="20">
        <v>0</v>
      </c>
      <c r="Q67" s="20">
        <v>0</v>
      </c>
      <c r="R67" s="20">
        <v>0</v>
      </c>
      <c r="S67" s="20">
        <v>0</v>
      </c>
      <c r="T67" s="20">
        <v>0</v>
      </c>
      <c r="U67" s="20">
        <v>0</v>
      </c>
      <c r="V67" s="20">
        <v>0</v>
      </c>
      <c r="W67" s="20">
        <v>0</v>
      </c>
      <c r="X67" s="20">
        <v>0</v>
      </c>
      <c r="Y67" s="20">
        <v>0</v>
      </c>
      <c r="Z67" s="20">
        <v>0</v>
      </c>
      <c r="AA67" s="20">
        <v>20000</v>
      </c>
      <c r="AB67" s="20">
        <v>20000</v>
      </c>
      <c r="AC67" s="21">
        <v>40000</v>
      </c>
    </row>
    <row r="68" spans="1:29" x14ac:dyDescent="0.25">
      <c r="F68" s="16"/>
      <c r="G68" s="33" t="s">
        <v>70</v>
      </c>
      <c r="H68" s="20">
        <v>20000</v>
      </c>
      <c r="I68" s="20">
        <v>20000</v>
      </c>
      <c r="J68" s="20">
        <v>40000</v>
      </c>
      <c r="K68" s="20">
        <v>0</v>
      </c>
      <c r="L68" s="20">
        <v>0</v>
      </c>
      <c r="M68" s="20">
        <v>0</v>
      </c>
      <c r="N68" s="20">
        <v>0</v>
      </c>
      <c r="O68" s="20">
        <v>0</v>
      </c>
      <c r="P68" s="20">
        <v>0</v>
      </c>
      <c r="Q68" s="20">
        <v>0</v>
      </c>
      <c r="R68" s="20">
        <v>0</v>
      </c>
      <c r="S68" s="20">
        <v>0</v>
      </c>
      <c r="T68" s="20">
        <v>0</v>
      </c>
      <c r="U68" s="20">
        <v>0</v>
      </c>
      <c r="V68" s="20">
        <v>0</v>
      </c>
      <c r="W68" s="20">
        <v>0</v>
      </c>
      <c r="X68" s="20">
        <v>0</v>
      </c>
      <c r="Y68" s="20">
        <v>0</v>
      </c>
      <c r="Z68" s="20">
        <v>0</v>
      </c>
      <c r="AA68" s="20">
        <v>20000</v>
      </c>
      <c r="AB68" s="20">
        <v>20000</v>
      </c>
      <c r="AC68" s="21">
        <v>40000</v>
      </c>
    </row>
    <row r="69" spans="1:29" x14ac:dyDescent="0.25">
      <c r="F69" s="16"/>
      <c r="G69" s="33" t="s">
        <v>73</v>
      </c>
      <c r="H69" s="20">
        <v>20000</v>
      </c>
      <c r="I69" s="20">
        <v>20000</v>
      </c>
      <c r="J69" s="20">
        <v>40000</v>
      </c>
      <c r="K69" s="20">
        <v>0</v>
      </c>
      <c r="L69" s="20">
        <v>0</v>
      </c>
      <c r="M69" s="20">
        <v>0</v>
      </c>
      <c r="N69" s="20">
        <v>0</v>
      </c>
      <c r="O69" s="20">
        <v>0</v>
      </c>
      <c r="P69" s="20">
        <v>0</v>
      </c>
      <c r="Q69" s="20">
        <v>0</v>
      </c>
      <c r="R69" s="20">
        <v>0</v>
      </c>
      <c r="S69" s="20">
        <v>0</v>
      </c>
      <c r="T69" s="20">
        <v>0</v>
      </c>
      <c r="U69" s="20">
        <v>0</v>
      </c>
      <c r="V69" s="20">
        <v>0</v>
      </c>
      <c r="W69" s="20">
        <v>0</v>
      </c>
      <c r="X69" s="20">
        <v>0</v>
      </c>
      <c r="Y69" s="20">
        <v>0</v>
      </c>
      <c r="Z69" s="20">
        <v>0</v>
      </c>
      <c r="AA69" s="20">
        <v>20000</v>
      </c>
      <c r="AB69" s="20">
        <v>20000</v>
      </c>
      <c r="AC69" s="21">
        <v>40000</v>
      </c>
    </row>
    <row r="70" spans="1:29" x14ac:dyDescent="0.25">
      <c r="F70" s="16"/>
      <c r="G70" s="33" t="s">
        <v>71</v>
      </c>
      <c r="H70" s="20">
        <v>20000</v>
      </c>
      <c r="I70" s="20">
        <v>20000</v>
      </c>
      <c r="J70" s="20">
        <v>40000</v>
      </c>
      <c r="K70" s="20">
        <v>0</v>
      </c>
      <c r="L70" s="20">
        <v>0</v>
      </c>
      <c r="M70" s="20">
        <v>0</v>
      </c>
      <c r="N70" s="20">
        <v>0</v>
      </c>
      <c r="O70" s="20">
        <v>0</v>
      </c>
      <c r="P70" s="20">
        <v>0</v>
      </c>
      <c r="Q70" s="20">
        <v>0</v>
      </c>
      <c r="R70" s="20">
        <v>0</v>
      </c>
      <c r="S70" s="20">
        <v>0</v>
      </c>
      <c r="T70" s="20">
        <v>0</v>
      </c>
      <c r="U70" s="20">
        <v>0</v>
      </c>
      <c r="V70" s="20">
        <v>0</v>
      </c>
      <c r="W70" s="20">
        <v>0</v>
      </c>
      <c r="X70" s="20">
        <v>0</v>
      </c>
      <c r="Y70" s="20">
        <v>0</v>
      </c>
      <c r="Z70" s="20">
        <v>0</v>
      </c>
      <c r="AA70" s="20">
        <v>20000</v>
      </c>
      <c r="AB70" s="20">
        <v>20000</v>
      </c>
      <c r="AC70" s="21">
        <v>40000</v>
      </c>
    </row>
    <row r="71" spans="1:29" x14ac:dyDescent="0.25">
      <c r="F71" s="16"/>
      <c r="G71" s="33" t="s">
        <v>72</v>
      </c>
      <c r="H71" s="20">
        <v>20000</v>
      </c>
      <c r="I71" s="20">
        <v>20000</v>
      </c>
      <c r="J71" s="20">
        <v>40000</v>
      </c>
      <c r="K71" s="20">
        <v>0</v>
      </c>
      <c r="L71" s="20">
        <v>0</v>
      </c>
      <c r="M71" s="20">
        <v>0</v>
      </c>
      <c r="N71" s="20">
        <v>0</v>
      </c>
      <c r="O71" s="20">
        <v>0</v>
      </c>
      <c r="P71" s="20">
        <v>0</v>
      </c>
      <c r="Q71" s="20">
        <v>0</v>
      </c>
      <c r="R71" s="20">
        <v>0</v>
      </c>
      <c r="S71" s="20">
        <v>0</v>
      </c>
      <c r="T71" s="20">
        <v>0</v>
      </c>
      <c r="U71" s="20">
        <v>0</v>
      </c>
      <c r="V71" s="20">
        <v>0</v>
      </c>
      <c r="W71" s="20">
        <v>0</v>
      </c>
      <c r="X71" s="20">
        <v>0</v>
      </c>
      <c r="Y71" s="20">
        <v>0</v>
      </c>
      <c r="Z71" s="20">
        <v>0</v>
      </c>
      <c r="AA71" s="20">
        <v>20000</v>
      </c>
      <c r="AB71" s="20">
        <v>20000</v>
      </c>
      <c r="AC71" s="21">
        <v>40000</v>
      </c>
    </row>
    <row r="72" spans="1:29" x14ac:dyDescent="0.25">
      <c r="F72" s="16"/>
      <c r="G72" s="33" t="s">
        <v>74</v>
      </c>
      <c r="H72" s="20">
        <v>20000</v>
      </c>
      <c r="I72" s="20">
        <v>20000</v>
      </c>
      <c r="J72" s="20">
        <v>40000</v>
      </c>
      <c r="K72" s="20">
        <v>0</v>
      </c>
      <c r="L72" s="20">
        <v>0</v>
      </c>
      <c r="M72" s="20">
        <v>0</v>
      </c>
      <c r="N72" s="20">
        <v>0</v>
      </c>
      <c r="O72" s="20">
        <v>0</v>
      </c>
      <c r="P72" s="20">
        <v>0</v>
      </c>
      <c r="Q72" s="20">
        <v>0</v>
      </c>
      <c r="R72" s="20">
        <v>0</v>
      </c>
      <c r="S72" s="20">
        <v>0</v>
      </c>
      <c r="T72" s="20">
        <v>0</v>
      </c>
      <c r="U72" s="20">
        <v>0</v>
      </c>
      <c r="V72" s="20">
        <v>0</v>
      </c>
      <c r="W72" s="20">
        <v>0</v>
      </c>
      <c r="X72" s="20">
        <v>0</v>
      </c>
      <c r="Y72" s="20">
        <v>0</v>
      </c>
      <c r="Z72" s="20">
        <v>0</v>
      </c>
      <c r="AA72" s="20">
        <v>20000</v>
      </c>
      <c r="AB72" s="20">
        <v>20000</v>
      </c>
      <c r="AC72" s="21">
        <v>40000</v>
      </c>
    </row>
    <row r="73" spans="1:29" x14ac:dyDescent="0.25">
      <c r="F73" s="16"/>
      <c r="G73" s="33" t="s">
        <v>68</v>
      </c>
      <c r="H73" s="20">
        <v>20000</v>
      </c>
      <c r="I73" s="20">
        <v>20000</v>
      </c>
      <c r="J73" s="20">
        <v>40000</v>
      </c>
      <c r="K73" s="20">
        <v>0</v>
      </c>
      <c r="L73" s="20">
        <v>0</v>
      </c>
      <c r="M73" s="20">
        <v>0</v>
      </c>
      <c r="N73" s="20">
        <v>0</v>
      </c>
      <c r="O73" s="20">
        <v>0</v>
      </c>
      <c r="P73" s="20">
        <v>0</v>
      </c>
      <c r="Q73" s="20">
        <v>0</v>
      </c>
      <c r="R73" s="20">
        <v>0</v>
      </c>
      <c r="S73" s="20">
        <v>0</v>
      </c>
      <c r="T73" s="20">
        <v>0</v>
      </c>
      <c r="U73" s="20">
        <v>0</v>
      </c>
      <c r="V73" s="20">
        <v>0</v>
      </c>
      <c r="W73" s="20">
        <v>0</v>
      </c>
      <c r="X73" s="20">
        <v>0</v>
      </c>
      <c r="Y73" s="20">
        <v>0</v>
      </c>
      <c r="Z73" s="20">
        <v>0</v>
      </c>
      <c r="AA73" s="20">
        <v>20000</v>
      </c>
      <c r="AB73" s="20">
        <v>20000</v>
      </c>
      <c r="AC73" s="21">
        <v>40000</v>
      </c>
    </row>
    <row r="74" spans="1:29" x14ac:dyDescent="0.25">
      <c r="F74" s="16"/>
      <c r="G74" s="33" t="s">
        <v>69</v>
      </c>
      <c r="H74" s="20">
        <v>20000</v>
      </c>
      <c r="I74" s="20">
        <v>20000</v>
      </c>
      <c r="J74" s="20">
        <v>40000</v>
      </c>
      <c r="K74" s="20">
        <v>0</v>
      </c>
      <c r="L74" s="20">
        <v>0</v>
      </c>
      <c r="M74" s="20">
        <v>0</v>
      </c>
      <c r="N74" s="20">
        <v>0</v>
      </c>
      <c r="O74" s="20">
        <v>0</v>
      </c>
      <c r="P74" s="20">
        <v>0</v>
      </c>
      <c r="Q74" s="20">
        <v>0</v>
      </c>
      <c r="R74" s="20">
        <v>0</v>
      </c>
      <c r="S74" s="20">
        <v>0</v>
      </c>
      <c r="T74" s="20">
        <v>0</v>
      </c>
      <c r="U74" s="20">
        <v>0</v>
      </c>
      <c r="V74" s="20">
        <v>0</v>
      </c>
      <c r="W74" s="20">
        <v>0</v>
      </c>
      <c r="X74" s="20">
        <v>0</v>
      </c>
      <c r="Y74" s="20">
        <v>0</v>
      </c>
      <c r="Z74" s="20">
        <v>0</v>
      </c>
      <c r="AA74" s="20">
        <v>20000</v>
      </c>
      <c r="AB74" s="20">
        <v>20000</v>
      </c>
      <c r="AC74" s="21">
        <v>40000</v>
      </c>
    </row>
    <row r="75" spans="1:29" x14ac:dyDescent="0.25">
      <c r="F75" s="16"/>
      <c r="G75" s="31" t="s">
        <v>65</v>
      </c>
      <c r="H75" s="20">
        <v>20000</v>
      </c>
      <c r="I75" s="20">
        <v>20000</v>
      </c>
      <c r="J75" s="20">
        <v>40000</v>
      </c>
      <c r="K75" s="20">
        <v>0</v>
      </c>
      <c r="L75" s="20">
        <v>0</v>
      </c>
      <c r="M75" s="20">
        <v>0</v>
      </c>
      <c r="N75" s="20">
        <v>0</v>
      </c>
      <c r="O75" s="20">
        <v>0</v>
      </c>
      <c r="P75" s="20">
        <v>0</v>
      </c>
      <c r="Q75" s="20">
        <v>0</v>
      </c>
      <c r="R75" s="20">
        <v>0</v>
      </c>
      <c r="S75" s="20">
        <v>0</v>
      </c>
      <c r="T75" s="20">
        <v>0</v>
      </c>
      <c r="U75" s="20">
        <v>0</v>
      </c>
      <c r="V75" s="20">
        <v>0</v>
      </c>
      <c r="W75" s="20">
        <v>0</v>
      </c>
      <c r="X75" s="20">
        <v>0</v>
      </c>
      <c r="Y75" s="20">
        <v>0</v>
      </c>
      <c r="Z75" s="20">
        <v>0</v>
      </c>
      <c r="AA75" s="20">
        <v>20000</v>
      </c>
      <c r="AB75" s="20">
        <v>20000</v>
      </c>
      <c r="AC75" s="21">
        <v>40000</v>
      </c>
    </row>
    <row r="76" spans="1:29" s="15" customFormat="1" ht="14.25" x14ac:dyDescent="0.2">
      <c r="A76" s="13"/>
      <c r="B76" s="14"/>
      <c r="F76" s="18">
        <v>3</v>
      </c>
      <c r="G76" s="29" t="s">
        <v>184</v>
      </c>
      <c r="H76" s="22">
        <v>20000</v>
      </c>
      <c r="I76" s="22">
        <v>20000</v>
      </c>
      <c r="J76" s="22">
        <v>40000</v>
      </c>
      <c r="K76" s="22">
        <v>0</v>
      </c>
      <c r="L76" s="22">
        <v>0</v>
      </c>
      <c r="M76" s="22">
        <v>0</v>
      </c>
      <c r="N76" s="22">
        <v>0</v>
      </c>
      <c r="O76" s="22">
        <v>0</v>
      </c>
      <c r="P76" s="22">
        <v>0</v>
      </c>
      <c r="Q76" s="22">
        <v>0</v>
      </c>
      <c r="R76" s="22">
        <v>0</v>
      </c>
      <c r="S76" s="22">
        <v>0</v>
      </c>
      <c r="T76" s="22">
        <v>0</v>
      </c>
      <c r="U76" s="22">
        <v>0</v>
      </c>
      <c r="V76" s="22">
        <v>0</v>
      </c>
      <c r="W76" s="22">
        <v>0</v>
      </c>
      <c r="X76" s="22">
        <v>0</v>
      </c>
      <c r="Y76" s="22">
        <v>0</v>
      </c>
      <c r="Z76" s="22">
        <v>0</v>
      </c>
      <c r="AA76" s="22">
        <v>20000</v>
      </c>
      <c r="AB76" s="22">
        <v>20000</v>
      </c>
      <c r="AC76" s="23">
        <v>40000</v>
      </c>
    </row>
    <row r="77" spans="1:29" x14ac:dyDescent="0.25">
      <c r="F77" s="16"/>
      <c r="G77" s="32" t="s">
        <v>63</v>
      </c>
      <c r="H77" s="20">
        <v>20000</v>
      </c>
      <c r="I77" s="20">
        <v>20000</v>
      </c>
      <c r="J77" s="20">
        <v>40000</v>
      </c>
      <c r="K77" s="20">
        <v>0</v>
      </c>
      <c r="L77" s="20">
        <v>0</v>
      </c>
      <c r="M77" s="20">
        <v>0</v>
      </c>
      <c r="N77" s="20">
        <v>0</v>
      </c>
      <c r="O77" s="20">
        <v>0</v>
      </c>
      <c r="P77" s="20">
        <v>0</v>
      </c>
      <c r="Q77" s="20">
        <v>0</v>
      </c>
      <c r="R77" s="20">
        <v>0</v>
      </c>
      <c r="S77" s="20">
        <v>0</v>
      </c>
      <c r="T77" s="20">
        <v>0</v>
      </c>
      <c r="U77" s="20">
        <v>0</v>
      </c>
      <c r="V77" s="20">
        <v>0</v>
      </c>
      <c r="W77" s="20">
        <v>0</v>
      </c>
      <c r="X77" s="20">
        <v>0</v>
      </c>
      <c r="Y77" s="20">
        <v>0</v>
      </c>
      <c r="Z77" s="20">
        <v>0</v>
      </c>
      <c r="AA77" s="20">
        <v>20000</v>
      </c>
      <c r="AB77" s="20">
        <v>20000</v>
      </c>
      <c r="AC77" s="21">
        <v>40000</v>
      </c>
    </row>
    <row r="78" spans="1:29" s="15" customFormat="1" ht="14.25" x14ac:dyDescent="0.2">
      <c r="A78" s="13"/>
      <c r="B78" s="14"/>
      <c r="F78" s="18">
        <v>4</v>
      </c>
      <c r="G78" s="29" t="s">
        <v>188</v>
      </c>
      <c r="H78" s="22">
        <v>20000</v>
      </c>
      <c r="I78" s="22">
        <v>20000</v>
      </c>
      <c r="J78" s="22">
        <v>40000</v>
      </c>
      <c r="K78" s="22">
        <v>0</v>
      </c>
      <c r="L78" s="22">
        <v>0</v>
      </c>
      <c r="M78" s="22">
        <v>0</v>
      </c>
      <c r="N78" s="22">
        <v>0</v>
      </c>
      <c r="O78" s="22">
        <v>0</v>
      </c>
      <c r="P78" s="22">
        <v>0</v>
      </c>
      <c r="Q78" s="22">
        <v>0</v>
      </c>
      <c r="R78" s="22">
        <v>0</v>
      </c>
      <c r="S78" s="22">
        <v>0</v>
      </c>
      <c r="T78" s="22">
        <v>0</v>
      </c>
      <c r="U78" s="22">
        <v>0</v>
      </c>
      <c r="V78" s="22">
        <v>0</v>
      </c>
      <c r="W78" s="22">
        <v>0</v>
      </c>
      <c r="X78" s="22">
        <v>0</v>
      </c>
      <c r="Y78" s="22">
        <v>0</v>
      </c>
      <c r="Z78" s="22">
        <v>0</v>
      </c>
      <c r="AA78" s="22">
        <v>20000</v>
      </c>
      <c r="AB78" s="22">
        <v>20000</v>
      </c>
      <c r="AC78" s="23">
        <v>40000</v>
      </c>
    </row>
    <row r="79" spans="1:29" x14ac:dyDescent="0.25">
      <c r="F79" s="16"/>
      <c r="G79" s="32" t="s">
        <v>80</v>
      </c>
      <c r="H79" s="20">
        <v>20000</v>
      </c>
      <c r="I79" s="20">
        <v>20000</v>
      </c>
      <c r="J79" s="20">
        <v>40000</v>
      </c>
      <c r="K79" s="20">
        <v>0</v>
      </c>
      <c r="L79" s="20">
        <v>0</v>
      </c>
      <c r="M79" s="20">
        <v>0</v>
      </c>
      <c r="N79" s="20">
        <v>0</v>
      </c>
      <c r="O79" s="20">
        <v>0</v>
      </c>
      <c r="P79" s="20">
        <v>0</v>
      </c>
      <c r="Q79" s="20">
        <v>0</v>
      </c>
      <c r="R79" s="20">
        <v>0</v>
      </c>
      <c r="S79" s="20">
        <v>0</v>
      </c>
      <c r="T79" s="20">
        <v>0</v>
      </c>
      <c r="U79" s="20">
        <v>0</v>
      </c>
      <c r="V79" s="20">
        <v>0</v>
      </c>
      <c r="W79" s="20">
        <v>0</v>
      </c>
      <c r="X79" s="20">
        <v>0</v>
      </c>
      <c r="Y79" s="20">
        <v>0</v>
      </c>
      <c r="Z79" s="20">
        <v>0</v>
      </c>
      <c r="AA79" s="20">
        <v>20000</v>
      </c>
      <c r="AB79" s="20">
        <v>20000</v>
      </c>
      <c r="AC79" s="21">
        <v>40000</v>
      </c>
    </row>
    <row r="80" spans="1:29" s="15" customFormat="1" ht="14.25" x14ac:dyDescent="0.2">
      <c r="A80" s="13"/>
      <c r="B80" s="14"/>
      <c r="F80" s="18">
        <v>5</v>
      </c>
      <c r="G80" s="29" t="s">
        <v>187</v>
      </c>
      <c r="H80" s="22">
        <v>80000</v>
      </c>
      <c r="I80" s="22">
        <v>80000</v>
      </c>
      <c r="J80" s="22">
        <v>160000</v>
      </c>
      <c r="K80" s="22">
        <v>0</v>
      </c>
      <c r="L80" s="22">
        <v>0</v>
      </c>
      <c r="M80" s="22">
        <v>0</v>
      </c>
      <c r="N80" s="22">
        <v>0</v>
      </c>
      <c r="O80" s="22">
        <v>0</v>
      </c>
      <c r="P80" s="22">
        <v>0</v>
      </c>
      <c r="Q80" s="22">
        <v>0</v>
      </c>
      <c r="R80" s="22">
        <v>0</v>
      </c>
      <c r="S80" s="22">
        <v>0</v>
      </c>
      <c r="T80" s="22">
        <v>0</v>
      </c>
      <c r="U80" s="22">
        <v>0</v>
      </c>
      <c r="V80" s="22">
        <v>0</v>
      </c>
      <c r="W80" s="22">
        <v>0</v>
      </c>
      <c r="X80" s="22">
        <v>0</v>
      </c>
      <c r="Y80" s="22">
        <v>0</v>
      </c>
      <c r="Z80" s="22">
        <v>0</v>
      </c>
      <c r="AA80" s="22">
        <v>80000</v>
      </c>
      <c r="AB80" s="22">
        <v>80000</v>
      </c>
      <c r="AC80" s="23">
        <v>160000</v>
      </c>
    </row>
    <row r="81" spans="6:29" x14ac:dyDescent="0.25">
      <c r="F81" s="16"/>
      <c r="G81" s="30" t="s">
        <v>75</v>
      </c>
      <c r="H81" s="20">
        <v>20000</v>
      </c>
      <c r="I81" s="20">
        <v>20000</v>
      </c>
      <c r="J81" s="20">
        <v>40000</v>
      </c>
      <c r="K81" s="20">
        <v>0</v>
      </c>
      <c r="L81" s="20">
        <v>0</v>
      </c>
      <c r="M81" s="20">
        <v>0</v>
      </c>
      <c r="N81" s="20">
        <v>0</v>
      </c>
      <c r="O81" s="20">
        <v>0</v>
      </c>
      <c r="P81" s="20">
        <v>0</v>
      </c>
      <c r="Q81" s="20">
        <v>0</v>
      </c>
      <c r="R81" s="20">
        <v>0</v>
      </c>
      <c r="S81" s="20">
        <v>0</v>
      </c>
      <c r="T81" s="20">
        <v>0</v>
      </c>
      <c r="U81" s="20">
        <v>0</v>
      </c>
      <c r="V81" s="20">
        <v>0</v>
      </c>
      <c r="W81" s="20">
        <v>0</v>
      </c>
      <c r="X81" s="20">
        <v>0</v>
      </c>
      <c r="Y81" s="20">
        <v>0</v>
      </c>
      <c r="Z81" s="20">
        <v>0</v>
      </c>
      <c r="AA81" s="20">
        <v>20000</v>
      </c>
      <c r="AB81" s="20">
        <v>20000</v>
      </c>
      <c r="AC81" s="21">
        <v>40000</v>
      </c>
    </row>
    <row r="82" spans="6:29" x14ac:dyDescent="0.25">
      <c r="F82" s="16"/>
      <c r="G82" s="33" t="s">
        <v>77</v>
      </c>
      <c r="H82" s="20">
        <v>20000</v>
      </c>
      <c r="I82" s="20">
        <v>20000</v>
      </c>
      <c r="J82" s="20">
        <v>40000</v>
      </c>
      <c r="K82" s="20">
        <v>0</v>
      </c>
      <c r="L82" s="20">
        <v>0</v>
      </c>
      <c r="M82" s="20">
        <v>0</v>
      </c>
      <c r="N82" s="20">
        <v>0</v>
      </c>
      <c r="O82" s="20">
        <v>0</v>
      </c>
      <c r="P82" s="20">
        <v>0</v>
      </c>
      <c r="Q82" s="20">
        <v>0</v>
      </c>
      <c r="R82" s="20">
        <v>0</v>
      </c>
      <c r="S82" s="20">
        <v>0</v>
      </c>
      <c r="T82" s="20">
        <v>0</v>
      </c>
      <c r="U82" s="20">
        <v>0</v>
      </c>
      <c r="V82" s="20">
        <v>0</v>
      </c>
      <c r="W82" s="20">
        <v>0</v>
      </c>
      <c r="X82" s="20">
        <v>0</v>
      </c>
      <c r="Y82" s="20">
        <v>0</v>
      </c>
      <c r="Z82" s="20">
        <v>0</v>
      </c>
      <c r="AA82" s="20">
        <v>20000</v>
      </c>
      <c r="AB82" s="20">
        <v>20000</v>
      </c>
      <c r="AC82" s="21">
        <v>40000</v>
      </c>
    </row>
    <row r="83" spans="6:29" x14ac:dyDescent="0.25">
      <c r="F83" s="16"/>
      <c r="G83" s="33" t="s">
        <v>78</v>
      </c>
      <c r="H83" s="20">
        <v>20000</v>
      </c>
      <c r="I83" s="20">
        <v>20000</v>
      </c>
      <c r="J83" s="20">
        <v>40000</v>
      </c>
      <c r="K83" s="20">
        <v>0</v>
      </c>
      <c r="L83" s="20">
        <v>0</v>
      </c>
      <c r="M83" s="20">
        <v>0</v>
      </c>
      <c r="N83" s="20">
        <v>0</v>
      </c>
      <c r="O83" s="20">
        <v>0</v>
      </c>
      <c r="P83" s="20">
        <v>0</v>
      </c>
      <c r="Q83" s="20">
        <v>0</v>
      </c>
      <c r="R83" s="20">
        <v>0</v>
      </c>
      <c r="S83" s="20">
        <v>0</v>
      </c>
      <c r="T83" s="20">
        <v>0</v>
      </c>
      <c r="U83" s="20">
        <v>0</v>
      </c>
      <c r="V83" s="20">
        <v>0</v>
      </c>
      <c r="W83" s="20">
        <v>0</v>
      </c>
      <c r="X83" s="20">
        <v>0</v>
      </c>
      <c r="Y83" s="20">
        <v>0</v>
      </c>
      <c r="Z83" s="20">
        <v>0</v>
      </c>
      <c r="AA83" s="20">
        <v>20000</v>
      </c>
      <c r="AB83" s="20">
        <v>20000</v>
      </c>
      <c r="AC83" s="21">
        <v>40000</v>
      </c>
    </row>
    <row r="84" spans="6:29" x14ac:dyDescent="0.25">
      <c r="F84" s="16"/>
      <c r="G84" s="31" t="s">
        <v>79</v>
      </c>
      <c r="H84" s="24">
        <v>20000</v>
      </c>
      <c r="I84" s="24">
        <v>20000</v>
      </c>
      <c r="J84" s="24">
        <v>40000</v>
      </c>
      <c r="K84" s="24">
        <v>0</v>
      </c>
      <c r="L84" s="24">
        <v>0</v>
      </c>
      <c r="M84" s="24">
        <v>0</v>
      </c>
      <c r="N84" s="24">
        <v>0</v>
      </c>
      <c r="O84" s="24">
        <v>0</v>
      </c>
      <c r="P84" s="24">
        <v>0</v>
      </c>
      <c r="Q84" s="24">
        <v>0</v>
      </c>
      <c r="R84" s="24">
        <v>0</v>
      </c>
      <c r="S84" s="24">
        <v>0</v>
      </c>
      <c r="T84" s="24">
        <v>0</v>
      </c>
      <c r="U84" s="24">
        <v>0</v>
      </c>
      <c r="V84" s="24">
        <v>0</v>
      </c>
      <c r="W84" s="24">
        <v>0</v>
      </c>
      <c r="X84" s="24">
        <v>0</v>
      </c>
      <c r="Y84" s="24">
        <v>0</v>
      </c>
      <c r="Z84" s="24">
        <v>0</v>
      </c>
      <c r="AA84" s="24">
        <v>20000</v>
      </c>
      <c r="AB84" s="24">
        <v>20000</v>
      </c>
      <c r="AC84" s="25">
        <v>40000</v>
      </c>
    </row>
  </sheetData>
  <mergeCells count="10">
    <mergeCell ref="F6:F8"/>
    <mergeCell ref="G6:G8"/>
    <mergeCell ref="H10:I10"/>
    <mergeCell ref="J10:J12"/>
    <mergeCell ref="K10:O10"/>
    <mergeCell ref="Q10:Y10"/>
    <mergeCell ref="Z10:Z12"/>
    <mergeCell ref="AA10:AB10"/>
    <mergeCell ref="AC10:AC12"/>
    <mergeCell ref="P10:P12"/>
  </mergeCells>
  <pageMargins left="0.25" right="0.25" top="0.75" bottom="0.75" header="0.3" footer="0.3"/>
  <pageSetup paperSize="9" scale="45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E161"/>
  <sheetViews>
    <sheetView showGridLines="0" topLeftCell="K1" workbookViewId="0">
      <selection activeCell="J24" sqref="J24"/>
    </sheetView>
  </sheetViews>
  <sheetFormatPr defaultRowHeight="15" x14ac:dyDescent="0.25"/>
  <cols>
    <col min="3" max="3" width="8.140625" hidden="1" customWidth="1"/>
    <col min="4" max="4" width="17.42578125" hidden="1" customWidth="1"/>
    <col min="5" max="5" width="17.7109375" hidden="1" customWidth="1"/>
    <col min="6" max="6" width="14.42578125" customWidth="1"/>
    <col min="7" max="7" width="12.85546875" customWidth="1"/>
    <col min="8" max="8" width="11.85546875" customWidth="1"/>
    <col min="9" max="9" width="13.85546875" customWidth="1"/>
    <col min="10" max="10" width="15.7109375" customWidth="1"/>
    <col min="11" max="11" width="17.5703125" customWidth="1"/>
    <col min="12" max="12" width="14.7109375" customWidth="1"/>
    <col min="13" max="13" width="14.28515625" customWidth="1"/>
    <col min="14" max="14" width="18.85546875" customWidth="1"/>
    <col min="15" max="15" width="16" customWidth="1"/>
    <col min="16" max="16" width="19.5703125" customWidth="1"/>
    <col min="17" max="17" width="14.42578125" customWidth="1"/>
    <col min="18" max="18" width="17.28515625" customWidth="1"/>
  </cols>
  <sheetData>
    <row r="2" spans="2:31" ht="31.5" customHeight="1" x14ac:dyDescent="0.25">
      <c r="F2" s="121" t="s">
        <v>444</v>
      </c>
      <c r="G2" s="134"/>
      <c r="H2" s="134"/>
      <c r="I2" s="134"/>
      <c r="J2" s="134"/>
      <c r="K2" s="121" t="s">
        <v>333</v>
      </c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AB2" s="178" t="s">
        <v>452</v>
      </c>
      <c r="AC2" s="179"/>
      <c r="AD2" s="179"/>
      <c r="AE2" s="180"/>
    </row>
    <row r="3" spans="2:31" ht="31.5" customHeight="1" thickBot="1" x14ac:dyDescent="0.3">
      <c r="F3" s="114"/>
      <c r="G3" s="135"/>
      <c r="H3" s="135"/>
      <c r="I3" s="135"/>
      <c r="J3" s="135"/>
      <c r="K3" s="114"/>
      <c r="L3" s="135"/>
      <c r="M3" s="135"/>
      <c r="N3" s="135"/>
      <c r="O3" s="135"/>
      <c r="P3" s="135"/>
    </row>
    <row r="4" spans="2:31" ht="18.75" customHeight="1" thickTop="1" x14ac:dyDescent="0.25">
      <c r="B4" s="184" t="s">
        <v>203</v>
      </c>
      <c r="C4" s="181"/>
      <c r="D4" s="136"/>
      <c r="E4" s="152"/>
      <c r="F4" s="118" t="s">
        <v>315</v>
      </c>
      <c r="G4" s="120" t="s">
        <v>316</v>
      </c>
      <c r="H4" s="120"/>
      <c r="I4" s="120"/>
      <c r="J4" s="120"/>
      <c r="K4" s="120" t="s">
        <v>318</v>
      </c>
      <c r="L4" s="120"/>
      <c r="M4" s="120"/>
      <c r="N4" s="118" t="s">
        <v>320</v>
      </c>
      <c r="O4" s="118"/>
      <c r="P4" s="118"/>
      <c r="Q4" s="118" t="s">
        <v>321</v>
      </c>
      <c r="R4" s="118" t="s">
        <v>322</v>
      </c>
      <c r="S4" s="118" t="s">
        <v>323</v>
      </c>
      <c r="T4" s="118"/>
      <c r="U4" s="118"/>
      <c r="V4" s="118"/>
      <c r="W4" s="118" t="s">
        <v>328</v>
      </c>
      <c r="X4" s="118"/>
      <c r="Y4" s="118" t="s">
        <v>327</v>
      </c>
      <c r="Z4" s="118"/>
      <c r="AA4" s="118" t="s">
        <v>329</v>
      </c>
      <c r="AB4" s="118"/>
      <c r="AC4" s="118"/>
      <c r="AD4" s="118"/>
      <c r="AE4" s="126" t="s">
        <v>331</v>
      </c>
    </row>
    <row r="5" spans="2:31" ht="18.75" customHeight="1" x14ac:dyDescent="0.25">
      <c r="B5" s="185"/>
      <c r="C5" s="182"/>
      <c r="D5" s="137"/>
      <c r="E5" s="153"/>
      <c r="F5" s="119"/>
      <c r="G5" s="116" t="s">
        <v>317</v>
      </c>
      <c r="H5" s="116"/>
      <c r="I5" s="116"/>
      <c r="J5" s="117" t="s">
        <v>191</v>
      </c>
      <c r="K5" s="116" t="s">
        <v>319</v>
      </c>
      <c r="L5" s="116" t="s">
        <v>288</v>
      </c>
      <c r="M5" s="116" t="s">
        <v>303</v>
      </c>
      <c r="N5" s="119" t="s">
        <v>319</v>
      </c>
      <c r="O5" s="119" t="s">
        <v>288</v>
      </c>
      <c r="P5" s="119" t="s">
        <v>303</v>
      </c>
      <c r="Q5" s="119"/>
      <c r="R5" s="119"/>
      <c r="S5" s="119" t="s">
        <v>317</v>
      </c>
      <c r="T5" s="119"/>
      <c r="U5" s="119" t="s">
        <v>324</v>
      </c>
      <c r="V5" s="119"/>
      <c r="W5" s="119" t="s">
        <v>291</v>
      </c>
      <c r="X5" s="119" t="s">
        <v>289</v>
      </c>
      <c r="Y5" s="119" t="s">
        <v>291</v>
      </c>
      <c r="Z5" s="119" t="s">
        <v>289</v>
      </c>
      <c r="AA5" s="119" t="s">
        <v>290</v>
      </c>
      <c r="AB5" s="119"/>
      <c r="AC5" s="119" t="s">
        <v>288</v>
      </c>
      <c r="AD5" s="119"/>
      <c r="AE5" s="127"/>
    </row>
    <row r="6" spans="2:31" ht="18.75" customHeight="1" thickBot="1" x14ac:dyDescent="0.3">
      <c r="B6" s="185"/>
      <c r="C6" s="182"/>
      <c r="D6" s="115"/>
      <c r="E6" s="154"/>
      <c r="F6" s="119"/>
      <c r="G6" s="115" t="s">
        <v>291</v>
      </c>
      <c r="H6" s="115" t="s">
        <v>289</v>
      </c>
      <c r="I6" s="115" t="s">
        <v>303</v>
      </c>
      <c r="J6" s="117"/>
      <c r="K6" s="116"/>
      <c r="L6" s="116"/>
      <c r="M6" s="116"/>
      <c r="N6" s="119"/>
      <c r="O6" s="119"/>
      <c r="P6" s="119"/>
      <c r="Q6" s="119"/>
      <c r="R6" s="119"/>
      <c r="S6" s="48" t="s">
        <v>325</v>
      </c>
      <c r="T6" s="48" t="s">
        <v>326</v>
      </c>
      <c r="U6" s="48" t="s">
        <v>325</v>
      </c>
      <c r="V6" s="48" t="s">
        <v>326</v>
      </c>
      <c r="W6" s="119"/>
      <c r="X6" s="119"/>
      <c r="Y6" s="119"/>
      <c r="Z6" s="119"/>
      <c r="AA6" s="48" t="s">
        <v>326</v>
      </c>
      <c r="AB6" s="48" t="s">
        <v>330</v>
      </c>
      <c r="AC6" s="48" t="s">
        <v>326</v>
      </c>
      <c r="AD6" s="48" t="s">
        <v>330</v>
      </c>
      <c r="AE6" s="127"/>
    </row>
    <row r="7" spans="2:31" ht="30.75" hidden="1" customHeight="1" thickTop="1" thickBot="1" x14ac:dyDescent="0.3">
      <c r="B7" s="147"/>
      <c r="C7" s="161" t="s">
        <v>141</v>
      </c>
      <c r="D7" s="161" t="s">
        <v>226</v>
      </c>
      <c r="E7" s="161" t="s">
        <v>276</v>
      </c>
      <c r="F7" s="183" t="s">
        <v>391</v>
      </c>
      <c r="G7" s="167" t="s">
        <v>393</v>
      </c>
      <c r="H7" s="168" t="s">
        <v>394</v>
      </c>
      <c r="I7" s="168" t="s">
        <v>396</v>
      </c>
      <c r="J7" s="168" t="s">
        <v>445</v>
      </c>
      <c r="K7" s="168" t="s">
        <v>397</v>
      </c>
      <c r="L7" s="168" t="s">
        <v>395</v>
      </c>
      <c r="M7" s="168" t="s">
        <v>398</v>
      </c>
      <c r="N7" s="168" t="s">
        <v>400</v>
      </c>
      <c r="O7" s="168" t="s">
        <v>399</v>
      </c>
      <c r="P7" s="169" t="s">
        <v>401</v>
      </c>
      <c r="Q7" s="155" t="s">
        <v>450</v>
      </c>
      <c r="R7" s="156" t="s">
        <v>451</v>
      </c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3"/>
    </row>
    <row r="8" spans="2:31" ht="16.5" thickTop="1" thickBot="1" x14ac:dyDescent="0.3">
      <c r="B8" s="147"/>
      <c r="C8" s="162" t="s">
        <v>40</v>
      </c>
      <c r="D8" s="165" t="s">
        <v>364</v>
      </c>
      <c r="E8" s="166" t="s">
        <v>364</v>
      </c>
      <c r="F8" s="187" t="s">
        <v>40</v>
      </c>
      <c r="G8" s="186">
        <v>0.45</v>
      </c>
      <c r="H8" s="170">
        <v>7.5687499999999996</v>
      </c>
      <c r="I8" s="170">
        <v>8.0187500000000007</v>
      </c>
      <c r="J8" s="171">
        <v>81000</v>
      </c>
      <c r="K8" s="170">
        <v>0</v>
      </c>
      <c r="L8" s="170">
        <v>0</v>
      </c>
      <c r="M8" s="170">
        <v>0</v>
      </c>
      <c r="N8" s="172">
        <v>0</v>
      </c>
      <c r="O8" s="172">
        <v>0</v>
      </c>
      <c r="P8" s="172">
        <v>0</v>
      </c>
      <c r="Q8" s="172">
        <v>0</v>
      </c>
      <c r="R8" s="173">
        <v>0</v>
      </c>
      <c r="S8" s="105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3"/>
    </row>
    <row r="9" spans="2:31" ht="16.5" thickTop="1" thickBot="1" x14ac:dyDescent="0.3">
      <c r="B9" s="147"/>
      <c r="C9" s="163"/>
      <c r="D9" s="163" t="s">
        <v>270</v>
      </c>
      <c r="E9" s="162" t="s">
        <v>402</v>
      </c>
      <c r="F9" s="188" t="s">
        <v>270</v>
      </c>
      <c r="G9" s="157">
        <v>0.1</v>
      </c>
      <c r="H9" s="138">
        <v>1.6819444444444445</v>
      </c>
      <c r="I9" s="138">
        <v>1.7819444444444446</v>
      </c>
      <c r="J9" s="139">
        <v>18000</v>
      </c>
      <c r="K9" s="138">
        <v>0</v>
      </c>
      <c r="L9" s="138">
        <v>0</v>
      </c>
      <c r="M9" s="138">
        <v>0</v>
      </c>
      <c r="N9" s="140">
        <v>0</v>
      </c>
      <c r="O9" s="140">
        <v>0</v>
      </c>
      <c r="P9" s="140">
        <v>0</v>
      </c>
      <c r="Q9" s="140">
        <v>0</v>
      </c>
      <c r="R9" s="174">
        <v>0</v>
      </c>
      <c r="S9" s="105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3"/>
    </row>
    <row r="10" spans="2:31" ht="16.5" thickTop="1" thickBot="1" x14ac:dyDescent="0.3">
      <c r="B10" s="147"/>
      <c r="C10" s="163"/>
      <c r="D10" s="163"/>
      <c r="E10" s="163" t="s">
        <v>275</v>
      </c>
      <c r="F10" s="189" t="s">
        <v>275</v>
      </c>
      <c r="G10" s="158">
        <v>0.05</v>
      </c>
      <c r="H10" s="141">
        <v>0.84097222222222223</v>
      </c>
      <c r="I10" s="141">
        <v>0.89097222222222228</v>
      </c>
      <c r="J10" s="142">
        <v>9000</v>
      </c>
      <c r="K10" s="141">
        <v>0</v>
      </c>
      <c r="L10" s="141">
        <v>0</v>
      </c>
      <c r="M10" s="141">
        <v>0</v>
      </c>
      <c r="N10" s="143">
        <v>0</v>
      </c>
      <c r="O10" s="143">
        <v>0</v>
      </c>
      <c r="P10" s="143">
        <v>0</v>
      </c>
      <c r="Q10" s="143">
        <v>0</v>
      </c>
      <c r="R10" s="175">
        <v>0</v>
      </c>
      <c r="S10" s="105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3"/>
    </row>
    <row r="11" spans="2:31" ht="16.5" thickTop="1" thickBot="1" x14ac:dyDescent="0.3">
      <c r="B11" s="147"/>
      <c r="C11" s="163"/>
      <c r="D11" s="163"/>
      <c r="E11" s="164" t="s">
        <v>278</v>
      </c>
      <c r="F11" s="189" t="s">
        <v>278</v>
      </c>
      <c r="G11" s="158">
        <v>0.05</v>
      </c>
      <c r="H11" s="141">
        <v>0.84097222222222223</v>
      </c>
      <c r="I11" s="141">
        <v>0.89097222222222228</v>
      </c>
      <c r="J11" s="142">
        <v>9000</v>
      </c>
      <c r="K11" s="141">
        <v>0</v>
      </c>
      <c r="L11" s="141">
        <v>0</v>
      </c>
      <c r="M11" s="141">
        <v>0</v>
      </c>
      <c r="N11" s="143">
        <v>0</v>
      </c>
      <c r="O11" s="143">
        <v>0</v>
      </c>
      <c r="P11" s="143">
        <v>0</v>
      </c>
      <c r="Q11" s="143">
        <v>0</v>
      </c>
      <c r="R11" s="175">
        <v>0</v>
      </c>
      <c r="S11" s="105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3"/>
    </row>
    <row r="12" spans="2:31" ht="16.5" thickTop="1" thickBot="1" x14ac:dyDescent="0.3">
      <c r="B12" s="147"/>
      <c r="C12" s="163"/>
      <c r="D12" s="163" t="s">
        <v>269</v>
      </c>
      <c r="E12" s="162" t="s">
        <v>402</v>
      </c>
      <c r="F12" s="188" t="s">
        <v>269</v>
      </c>
      <c r="G12" s="157">
        <v>0.05</v>
      </c>
      <c r="H12" s="138">
        <v>0.84097222222222223</v>
      </c>
      <c r="I12" s="138">
        <v>0.89097222222222228</v>
      </c>
      <c r="J12" s="139">
        <v>9000</v>
      </c>
      <c r="K12" s="138">
        <v>0</v>
      </c>
      <c r="L12" s="138">
        <v>0</v>
      </c>
      <c r="M12" s="138">
        <v>0</v>
      </c>
      <c r="N12" s="140">
        <v>0</v>
      </c>
      <c r="O12" s="140">
        <v>0</v>
      </c>
      <c r="P12" s="140">
        <v>0</v>
      </c>
      <c r="Q12" s="140">
        <v>0</v>
      </c>
      <c r="R12" s="174">
        <v>0</v>
      </c>
      <c r="S12" s="105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3"/>
    </row>
    <row r="13" spans="2:31" ht="16.5" thickTop="1" thickBot="1" x14ac:dyDescent="0.3">
      <c r="B13" s="147"/>
      <c r="C13" s="163"/>
      <c r="D13" s="163"/>
      <c r="E13" s="164" t="s">
        <v>269</v>
      </c>
      <c r="F13" s="188" t="s">
        <v>269</v>
      </c>
      <c r="G13" s="157">
        <v>0.05</v>
      </c>
      <c r="H13" s="138">
        <v>0.84097222222222223</v>
      </c>
      <c r="I13" s="138">
        <v>0.89097222222222228</v>
      </c>
      <c r="J13" s="139">
        <v>9000</v>
      </c>
      <c r="K13" s="138">
        <v>0</v>
      </c>
      <c r="L13" s="138">
        <v>0</v>
      </c>
      <c r="M13" s="138">
        <v>0</v>
      </c>
      <c r="N13" s="140">
        <v>0</v>
      </c>
      <c r="O13" s="140">
        <v>0</v>
      </c>
      <c r="P13" s="140">
        <v>0</v>
      </c>
      <c r="Q13" s="140">
        <v>0</v>
      </c>
      <c r="R13" s="174">
        <v>0</v>
      </c>
      <c r="S13" s="105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3"/>
    </row>
    <row r="14" spans="2:31" ht="16.5" thickTop="1" thickBot="1" x14ac:dyDescent="0.3">
      <c r="B14" s="147"/>
      <c r="C14" s="163"/>
      <c r="D14" s="163" t="s">
        <v>271</v>
      </c>
      <c r="E14" s="162" t="s">
        <v>402</v>
      </c>
      <c r="F14" s="188" t="s">
        <v>271</v>
      </c>
      <c r="G14" s="157">
        <v>0.05</v>
      </c>
      <c r="H14" s="138">
        <v>0.84097222222222223</v>
      </c>
      <c r="I14" s="138">
        <v>0.89097222222222228</v>
      </c>
      <c r="J14" s="139">
        <v>9000</v>
      </c>
      <c r="K14" s="138">
        <v>0</v>
      </c>
      <c r="L14" s="138">
        <v>0</v>
      </c>
      <c r="M14" s="138">
        <v>0</v>
      </c>
      <c r="N14" s="140">
        <v>0</v>
      </c>
      <c r="O14" s="140">
        <v>0</v>
      </c>
      <c r="P14" s="140">
        <v>0</v>
      </c>
      <c r="Q14" s="140">
        <v>0</v>
      </c>
      <c r="R14" s="174">
        <v>0</v>
      </c>
      <c r="S14" s="105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3"/>
    </row>
    <row r="15" spans="2:31" ht="16.5" thickTop="1" thickBot="1" x14ac:dyDescent="0.3">
      <c r="B15" s="147"/>
      <c r="C15" s="163"/>
      <c r="D15" s="163"/>
      <c r="E15" s="164" t="s">
        <v>271</v>
      </c>
      <c r="F15" s="188" t="s">
        <v>271</v>
      </c>
      <c r="G15" s="157">
        <v>0.05</v>
      </c>
      <c r="H15" s="138">
        <v>0.84097222222222223</v>
      </c>
      <c r="I15" s="138">
        <v>0.89097222222222228</v>
      </c>
      <c r="J15" s="139">
        <v>9000</v>
      </c>
      <c r="K15" s="138">
        <v>0</v>
      </c>
      <c r="L15" s="138">
        <v>0</v>
      </c>
      <c r="M15" s="138">
        <v>0</v>
      </c>
      <c r="N15" s="140">
        <v>0</v>
      </c>
      <c r="O15" s="140">
        <v>0</v>
      </c>
      <c r="P15" s="140">
        <v>0</v>
      </c>
      <c r="Q15" s="140">
        <v>0</v>
      </c>
      <c r="R15" s="174">
        <v>0</v>
      </c>
      <c r="S15" s="105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3"/>
    </row>
    <row r="16" spans="2:31" ht="16.5" thickTop="1" thickBot="1" x14ac:dyDescent="0.3">
      <c r="B16" s="147"/>
      <c r="C16" s="163"/>
      <c r="D16" s="163" t="s">
        <v>272</v>
      </c>
      <c r="E16" s="162" t="s">
        <v>402</v>
      </c>
      <c r="F16" s="188" t="s">
        <v>272</v>
      </c>
      <c r="G16" s="157">
        <v>0.05</v>
      </c>
      <c r="H16" s="138">
        <v>0.84097222222222223</v>
      </c>
      <c r="I16" s="138">
        <v>0.89097222222222228</v>
      </c>
      <c r="J16" s="139">
        <v>9000</v>
      </c>
      <c r="K16" s="138">
        <v>0</v>
      </c>
      <c r="L16" s="138">
        <v>0</v>
      </c>
      <c r="M16" s="138">
        <v>0</v>
      </c>
      <c r="N16" s="140">
        <v>0</v>
      </c>
      <c r="O16" s="140">
        <v>0</v>
      </c>
      <c r="P16" s="140">
        <v>0</v>
      </c>
      <c r="Q16" s="140">
        <v>0</v>
      </c>
      <c r="R16" s="174">
        <v>0</v>
      </c>
      <c r="S16" s="105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3"/>
    </row>
    <row r="17" spans="2:31" ht="16.5" thickTop="1" thickBot="1" x14ac:dyDescent="0.3">
      <c r="B17" s="147"/>
      <c r="C17" s="163"/>
      <c r="D17" s="163"/>
      <c r="E17" s="164" t="s">
        <v>272</v>
      </c>
      <c r="F17" s="188" t="s">
        <v>272</v>
      </c>
      <c r="G17" s="157">
        <v>0.05</v>
      </c>
      <c r="H17" s="138">
        <v>0.84097222222222223</v>
      </c>
      <c r="I17" s="138">
        <v>0.89097222222222228</v>
      </c>
      <c r="J17" s="139">
        <v>9000</v>
      </c>
      <c r="K17" s="138">
        <v>0</v>
      </c>
      <c r="L17" s="138">
        <v>0</v>
      </c>
      <c r="M17" s="138">
        <v>0</v>
      </c>
      <c r="N17" s="140">
        <v>0</v>
      </c>
      <c r="O17" s="140">
        <v>0</v>
      </c>
      <c r="P17" s="140">
        <v>0</v>
      </c>
      <c r="Q17" s="140">
        <v>0</v>
      </c>
      <c r="R17" s="174">
        <v>0</v>
      </c>
      <c r="S17" s="105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3"/>
    </row>
    <row r="18" spans="2:31" ht="16.5" thickTop="1" thickBot="1" x14ac:dyDescent="0.3">
      <c r="B18" s="147"/>
      <c r="C18" s="163"/>
      <c r="D18" s="163" t="s">
        <v>267</v>
      </c>
      <c r="E18" s="162" t="s">
        <v>402</v>
      </c>
      <c r="F18" s="189" t="s">
        <v>267</v>
      </c>
      <c r="G18" s="158">
        <v>0.05</v>
      </c>
      <c r="H18" s="141">
        <v>0.84097222222222223</v>
      </c>
      <c r="I18" s="141">
        <v>0.89097222222222228</v>
      </c>
      <c r="J18" s="142">
        <v>9000</v>
      </c>
      <c r="K18" s="141">
        <v>0</v>
      </c>
      <c r="L18" s="141">
        <v>0</v>
      </c>
      <c r="M18" s="141">
        <v>0</v>
      </c>
      <c r="N18" s="143">
        <v>0</v>
      </c>
      <c r="O18" s="143">
        <v>0</v>
      </c>
      <c r="P18" s="143">
        <v>0</v>
      </c>
      <c r="Q18" s="143">
        <v>0</v>
      </c>
      <c r="R18" s="175">
        <v>0</v>
      </c>
      <c r="S18" s="105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3"/>
    </row>
    <row r="19" spans="2:31" ht="16.5" thickTop="1" thickBot="1" x14ac:dyDescent="0.3">
      <c r="B19" s="147"/>
      <c r="C19" s="163"/>
      <c r="D19" s="163"/>
      <c r="E19" s="164" t="s">
        <v>268</v>
      </c>
      <c r="F19" s="188" t="s">
        <v>268</v>
      </c>
      <c r="G19" s="157">
        <v>0.05</v>
      </c>
      <c r="H19" s="138">
        <v>0.84097222222222223</v>
      </c>
      <c r="I19" s="138">
        <v>0.89097222222222228</v>
      </c>
      <c r="J19" s="139">
        <v>9000</v>
      </c>
      <c r="K19" s="138">
        <v>0</v>
      </c>
      <c r="L19" s="138">
        <v>0</v>
      </c>
      <c r="M19" s="138">
        <v>0</v>
      </c>
      <c r="N19" s="140">
        <v>0</v>
      </c>
      <c r="O19" s="140">
        <v>0</v>
      </c>
      <c r="P19" s="140">
        <v>0</v>
      </c>
      <c r="Q19" s="140">
        <v>0</v>
      </c>
      <c r="R19" s="174">
        <v>0</v>
      </c>
      <c r="S19" s="105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3"/>
    </row>
    <row r="20" spans="2:31" ht="16.5" thickTop="1" thickBot="1" x14ac:dyDescent="0.3">
      <c r="B20" s="147"/>
      <c r="C20" s="163"/>
      <c r="D20" s="163" t="s">
        <v>273</v>
      </c>
      <c r="E20" s="162" t="s">
        <v>402</v>
      </c>
      <c r="F20" s="188" t="s">
        <v>273</v>
      </c>
      <c r="G20" s="157">
        <v>0.1</v>
      </c>
      <c r="H20" s="138">
        <v>1.6819444444444445</v>
      </c>
      <c r="I20" s="138">
        <v>1.7819444444444446</v>
      </c>
      <c r="J20" s="139">
        <v>18000</v>
      </c>
      <c r="K20" s="138">
        <v>0</v>
      </c>
      <c r="L20" s="138">
        <v>0</v>
      </c>
      <c r="M20" s="138">
        <v>0</v>
      </c>
      <c r="N20" s="140">
        <v>0</v>
      </c>
      <c r="O20" s="140">
        <v>0</v>
      </c>
      <c r="P20" s="140">
        <v>0</v>
      </c>
      <c r="Q20" s="140">
        <v>0</v>
      </c>
      <c r="R20" s="174">
        <v>0</v>
      </c>
      <c r="S20" s="105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3"/>
    </row>
    <row r="21" spans="2:31" ht="16.5" thickTop="1" thickBot="1" x14ac:dyDescent="0.3">
      <c r="B21" s="147"/>
      <c r="C21" s="163"/>
      <c r="D21" s="163"/>
      <c r="E21" s="163" t="s">
        <v>274</v>
      </c>
      <c r="F21" s="189" t="s">
        <v>274</v>
      </c>
      <c r="G21" s="158">
        <v>0.05</v>
      </c>
      <c r="H21" s="141">
        <v>0.84097222222222223</v>
      </c>
      <c r="I21" s="141">
        <v>0.89097222222222228</v>
      </c>
      <c r="J21" s="142">
        <v>9000</v>
      </c>
      <c r="K21" s="141">
        <v>0</v>
      </c>
      <c r="L21" s="141">
        <v>0</v>
      </c>
      <c r="M21" s="141">
        <v>0</v>
      </c>
      <c r="N21" s="143">
        <v>0</v>
      </c>
      <c r="O21" s="143">
        <v>0</v>
      </c>
      <c r="P21" s="143">
        <v>0</v>
      </c>
      <c r="Q21" s="143">
        <v>0</v>
      </c>
      <c r="R21" s="175">
        <v>0</v>
      </c>
      <c r="S21" s="105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3"/>
    </row>
    <row r="22" spans="2:31" ht="16.5" thickTop="1" thickBot="1" x14ac:dyDescent="0.3">
      <c r="B22" s="147"/>
      <c r="C22" s="163"/>
      <c r="D22" s="163"/>
      <c r="E22" s="164" t="s">
        <v>277</v>
      </c>
      <c r="F22" s="189" t="s">
        <v>277</v>
      </c>
      <c r="G22" s="158">
        <v>0.05</v>
      </c>
      <c r="H22" s="141">
        <v>0.84097222222222223</v>
      </c>
      <c r="I22" s="141">
        <v>0.89097222222222228</v>
      </c>
      <c r="J22" s="142">
        <v>9000</v>
      </c>
      <c r="K22" s="141">
        <v>0</v>
      </c>
      <c r="L22" s="141">
        <v>0</v>
      </c>
      <c r="M22" s="141">
        <v>0</v>
      </c>
      <c r="N22" s="143">
        <v>0</v>
      </c>
      <c r="O22" s="143">
        <v>0</v>
      </c>
      <c r="P22" s="143">
        <v>0</v>
      </c>
      <c r="Q22" s="143">
        <v>0</v>
      </c>
      <c r="R22" s="175">
        <v>0</v>
      </c>
      <c r="S22" s="105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3"/>
    </row>
    <row r="23" spans="2:31" ht="16.5" thickTop="1" thickBot="1" x14ac:dyDescent="0.3">
      <c r="B23" s="147"/>
      <c r="C23" s="163"/>
      <c r="D23" s="163" t="s">
        <v>134</v>
      </c>
      <c r="E23" s="162" t="s">
        <v>402</v>
      </c>
      <c r="F23" s="188" t="s">
        <v>134</v>
      </c>
      <c r="G23" s="157">
        <v>0.05</v>
      </c>
      <c r="H23" s="138">
        <v>0.84097222222222223</v>
      </c>
      <c r="I23" s="138">
        <v>0.89097222222222228</v>
      </c>
      <c r="J23" s="139">
        <v>9000</v>
      </c>
      <c r="K23" s="138">
        <v>0</v>
      </c>
      <c r="L23" s="138">
        <v>0</v>
      </c>
      <c r="M23" s="138">
        <v>0</v>
      </c>
      <c r="N23" s="140">
        <v>0</v>
      </c>
      <c r="O23" s="140">
        <v>0</v>
      </c>
      <c r="P23" s="140">
        <v>0</v>
      </c>
      <c r="Q23" s="140">
        <v>0</v>
      </c>
      <c r="R23" s="174">
        <v>0</v>
      </c>
      <c r="S23" s="105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3"/>
    </row>
    <row r="24" spans="2:31" ht="16.5" thickTop="1" thickBot="1" x14ac:dyDescent="0.3">
      <c r="B24" s="147"/>
      <c r="C24" s="163"/>
      <c r="D24" s="164"/>
      <c r="E24" s="164" t="s">
        <v>134</v>
      </c>
      <c r="F24" s="188" t="s">
        <v>134</v>
      </c>
      <c r="G24" s="157">
        <v>0.05</v>
      </c>
      <c r="H24" s="138">
        <v>0.84097222222222223</v>
      </c>
      <c r="I24" s="138">
        <v>0.89097222222222228</v>
      </c>
      <c r="J24" s="139">
        <v>9000</v>
      </c>
      <c r="K24" s="138">
        <v>0</v>
      </c>
      <c r="L24" s="138">
        <v>0</v>
      </c>
      <c r="M24" s="138">
        <v>0</v>
      </c>
      <c r="N24" s="140">
        <v>0</v>
      </c>
      <c r="O24" s="140">
        <v>0</v>
      </c>
      <c r="P24" s="140">
        <v>0</v>
      </c>
      <c r="Q24" s="140">
        <v>0</v>
      </c>
      <c r="R24" s="174">
        <v>0</v>
      </c>
      <c r="S24" s="105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3"/>
    </row>
    <row r="25" spans="2:31" ht="16.5" thickTop="1" thickBot="1" x14ac:dyDescent="0.3">
      <c r="B25" s="147"/>
      <c r="C25" s="163" t="s">
        <v>165</v>
      </c>
      <c r="D25" s="165" t="s">
        <v>364</v>
      </c>
      <c r="E25" s="166" t="s">
        <v>364</v>
      </c>
      <c r="F25" s="187" t="s">
        <v>165</v>
      </c>
      <c r="G25" s="159">
        <v>0.45</v>
      </c>
      <c r="H25" s="144">
        <v>7.5687499999999996</v>
      </c>
      <c r="I25" s="144">
        <v>8.0187500000000007</v>
      </c>
      <c r="J25" s="145">
        <v>81000</v>
      </c>
      <c r="K25" s="144">
        <v>0.11458333333333333</v>
      </c>
      <c r="L25" s="144">
        <v>0</v>
      </c>
      <c r="M25" s="144">
        <v>0.11458333333333333</v>
      </c>
      <c r="N25" s="146">
        <v>3221</v>
      </c>
      <c r="O25" s="146">
        <v>0</v>
      </c>
      <c r="P25" s="146">
        <v>3221</v>
      </c>
      <c r="Q25" s="146">
        <v>0</v>
      </c>
      <c r="R25" s="176">
        <v>3221</v>
      </c>
      <c r="S25" s="105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3"/>
    </row>
    <row r="26" spans="2:31" ht="16.5" thickTop="1" thickBot="1" x14ac:dyDescent="0.3">
      <c r="B26" s="147"/>
      <c r="C26" s="163"/>
      <c r="D26" s="163" t="s">
        <v>270</v>
      </c>
      <c r="E26" s="162" t="s">
        <v>402</v>
      </c>
      <c r="F26" s="188" t="s">
        <v>270</v>
      </c>
      <c r="G26" s="157">
        <v>0.1</v>
      </c>
      <c r="H26" s="138">
        <v>1.6819444444444445</v>
      </c>
      <c r="I26" s="138">
        <v>1.7819444444444446</v>
      </c>
      <c r="J26" s="139">
        <v>18000</v>
      </c>
      <c r="K26" s="138">
        <v>0.11458333333333333</v>
      </c>
      <c r="L26" s="138">
        <v>0</v>
      </c>
      <c r="M26" s="138">
        <v>0.11458333333333333</v>
      </c>
      <c r="N26" s="140">
        <v>3221</v>
      </c>
      <c r="O26" s="140">
        <v>0</v>
      </c>
      <c r="P26" s="140">
        <v>3221</v>
      </c>
      <c r="Q26" s="140">
        <v>0</v>
      </c>
      <c r="R26" s="174">
        <v>3221</v>
      </c>
      <c r="S26" s="105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3"/>
    </row>
    <row r="27" spans="2:31" ht="16.5" thickTop="1" thickBot="1" x14ac:dyDescent="0.3">
      <c r="B27" s="147"/>
      <c r="C27" s="163"/>
      <c r="D27" s="163"/>
      <c r="E27" s="163" t="s">
        <v>275</v>
      </c>
      <c r="F27" s="189" t="s">
        <v>275</v>
      </c>
      <c r="G27" s="158">
        <v>0.05</v>
      </c>
      <c r="H27" s="141">
        <v>0.84097222222222223</v>
      </c>
      <c r="I27" s="141">
        <v>0.89097222222222228</v>
      </c>
      <c r="J27" s="142">
        <v>9000</v>
      </c>
      <c r="K27" s="141">
        <v>0.11458333333333333</v>
      </c>
      <c r="L27" s="141">
        <v>0</v>
      </c>
      <c r="M27" s="141">
        <v>0.11458333333333333</v>
      </c>
      <c r="N27" s="143">
        <v>3221</v>
      </c>
      <c r="O27" s="143">
        <v>0</v>
      </c>
      <c r="P27" s="143">
        <v>3221</v>
      </c>
      <c r="Q27" s="143">
        <v>0</v>
      </c>
      <c r="R27" s="175">
        <v>3221</v>
      </c>
      <c r="S27" s="105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3"/>
    </row>
    <row r="28" spans="2:31" ht="16.5" thickTop="1" thickBot="1" x14ac:dyDescent="0.3">
      <c r="B28" s="147"/>
      <c r="C28" s="163"/>
      <c r="D28" s="163"/>
      <c r="E28" s="164" t="s">
        <v>278</v>
      </c>
      <c r="F28" s="189" t="s">
        <v>278</v>
      </c>
      <c r="G28" s="158">
        <v>0.05</v>
      </c>
      <c r="H28" s="141">
        <v>0.84097222222222223</v>
      </c>
      <c r="I28" s="141">
        <v>0.89097222222222228</v>
      </c>
      <c r="J28" s="142">
        <v>9000</v>
      </c>
      <c r="K28" s="141">
        <v>0</v>
      </c>
      <c r="L28" s="141">
        <v>0</v>
      </c>
      <c r="M28" s="141">
        <v>0</v>
      </c>
      <c r="N28" s="143">
        <v>0</v>
      </c>
      <c r="O28" s="143">
        <v>0</v>
      </c>
      <c r="P28" s="143">
        <v>0</v>
      </c>
      <c r="Q28" s="143">
        <v>0</v>
      </c>
      <c r="R28" s="175">
        <v>0</v>
      </c>
      <c r="S28" s="105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3"/>
    </row>
    <row r="29" spans="2:31" ht="16.5" thickTop="1" thickBot="1" x14ac:dyDescent="0.3">
      <c r="B29" s="147"/>
      <c r="C29" s="163"/>
      <c r="D29" s="163" t="s">
        <v>269</v>
      </c>
      <c r="E29" s="162" t="s">
        <v>402</v>
      </c>
      <c r="F29" s="188" t="s">
        <v>269</v>
      </c>
      <c r="G29" s="157">
        <v>0.05</v>
      </c>
      <c r="H29" s="138">
        <v>0.84097222222222223</v>
      </c>
      <c r="I29" s="138">
        <v>0.89097222222222228</v>
      </c>
      <c r="J29" s="139">
        <v>9000</v>
      </c>
      <c r="K29" s="138">
        <v>0</v>
      </c>
      <c r="L29" s="138">
        <v>0</v>
      </c>
      <c r="M29" s="138">
        <v>0</v>
      </c>
      <c r="N29" s="140">
        <v>0</v>
      </c>
      <c r="O29" s="140">
        <v>0</v>
      </c>
      <c r="P29" s="140">
        <v>0</v>
      </c>
      <c r="Q29" s="140">
        <v>0</v>
      </c>
      <c r="R29" s="174">
        <v>0</v>
      </c>
      <c r="S29" s="105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3"/>
    </row>
    <row r="30" spans="2:31" ht="16.5" thickTop="1" thickBot="1" x14ac:dyDescent="0.3">
      <c r="B30" s="147"/>
      <c r="C30" s="163"/>
      <c r="D30" s="163"/>
      <c r="E30" s="164" t="s">
        <v>269</v>
      </c>
      <c r="F30" s="188" t="s">
        <v>269</v>
      </c>
      <c r="G30" s="157">
        <v>0.05</v>
      </c>
      <c r="H30" s="138">
        <v>0.84097222222222223</v>
      </c>
      <c r="I30" s="138">
        <v>0.89097222222222228</v>
      </c>
      <c r="J30" s="139">
        <v>9000</v>
      </c>
      <c r="K30" s="138">
        <v>0</v>
      </c>
      <c r="L30" s="138">
        <v>0</v>
      </c>
      <c r="M30" s="138">
        <v>0</v>
      </c>
      <c r="N30" s="140">
        <v>0</v>
      </c>
      <c r="O30" s="140">
        <v>0</v>
      </c>
      <c r="P30" s="140">
        <v>0</v>
      </c>
      <c r="Q30" s="140">
        <v>0</v>
      </c>
      <c r="R30" s="174">
        <v>0</v>
      </c>
      <c r="S30" s="105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3"/>
    </row>
    <row r="31" spans="2:31" ht="16.5" thickTop="1" thickBot="1" x14ac:dyDescent="0.3">
      <c r="B31" s="147"/>
      <c r="C31" s="163"/>
      <c r="D31" s="163" t="s">
        <v>271</v>
      </c>
      <c r="E31" s="162" t="s">
        <v>402</v>
      </c>
      <c r="F31" s="188" t="s">
        <v>271</v>
      </c>
      <c r="G31" s="157">
        <v>0.05</v>
      </c>
      <c r="H31" s="138">
        <v>0.84097222222222223</v>
      </c>
      <c r="I31" s="138">
        <v>0.89097222222222228</v>
      </c>
      <c r="J31" s="139">
        <v>9000</v>
      </c>
      <c r="K31" s="138">
        <v>0</v>
      </c>
      <c r="L31" s="138">
        <v>0</v>
      </c>
      <c r="M31" s="138">
        <v>0</v>
      </c>
      <c r="N31" s="140">
        <v>0</v>
      </c>
      <c r="O31" s="140">
        <v>0</v>
      </c>
      <c r="P31" s="140">
        <v>0</v>
      </c>
      <c r="Q31" s="140">
        <v>0</v>
      </c>
      <c r="R31" s="174">
        <v>0</v>
      </c>
      <c r="S31" s="105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3"/>
    </row>
    <row r="32" spans="2:31" ht="16.5" thickTop="1" thickBot="1" x14ac:dyDescent="0.3">
      <c r="B32" s="147"/>
      <c r="C32" s="163"/>
      <c r="D32" s="163"/>
      <c r="E32" s="164" t="s">
        <v>271</v>
      </c>
      <c r="F32" s="188" t="s">
        <v>271</v>
      </c>
      <c r="G32" s="157">
        <v>0.05</v>
      </c>
      <c r="H32" s="138">
        <v>0.84097222222222223</v>
      </c>
      <c r="I32" s="138">
        <v>0.89097222222222228</v>
      </c>
      <c r="J32" s="139">
        <v>9000</v>
      </c>
      <c r="K32" s="138">
        <v>0</v>
      </c>
      <c r="L32" s="138">
        <v>0</v>
      </c>
      <c r="M32" s="138">
        <v>0</v>
      </c>
      <c r="N32" s="140">
        <v>0</v>
      </c>
      <c r="O32" s="140">
        <v>0</v>
      </c>
      <c r="P32" s="140">
        <v>0</v>
      </c>
      <c r="Q32" s="140">
        <v>0</v>
      </c>
      <c r="R32" s="174">
        <v>0</v>
      </c>
      <c r="S32" s="105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3"/>
    </row>
    <row r="33" spans="2:31" ht="16.5" thickTop="1" thickBot="1" x14ac:dyDescent="0.3">
      <c r="B33" s="147"/>
      <c r="C33" s="163"/>
      <c r="D33" s="163" t="s">
        <v>272</v>
      </c>
      <c r="E33" s="162" t="s">
        <v>402</v>
      </c>
      <c r="F33" s="188" t="s">
        <v>272</v>
      </c>
      <c r="G33" s="157">
        <v>0.05</v>
      </c>
      <c r="H33" s="138">
        <v>0.84097222222222223</v>
      </c>
      <c r="I33" s="138">
        <v>0.89097222222222228</v>
      </c>
      <c r="J33" s="139">
        <v>9000</v>
      </c>
      <c r="K33" s="138">
        <v>0</v>
      </c>
      <c r="L33" s="138">
        <v>0</v>
      </c>
      <c r="M33" s="138">
        <v>0</v>
      </c>
      <c r="N33" s="140">
        <v>0</v>
      </c>
      <c r="O33" s="140">
        <v>0</v>
      </c>
      <c r="P33" s="140">
        <v>0</v>
      </c>
      <c r="Q33" s="140">
        <v>0</v>
      </c>
      <c r="R33" s="174">
        <v>0</v>
      </c>
      <c r="S33" s="105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3"/>
    </row>
    <row r="34" spans="2:31" ht="16.5" thickTop="1" thickBot="1" x14ac:dyDescent="0.3">
      <c r="B34" s="147"/>
      <c r="C34" s="163"/>
      <c r="D34" s="163"/>
      <c r="E34" s="164" t="s">
        <v>272</v>
      </c>
      <c r="F34" s="188" t="s">
        <v>272</v>
      </c>
      <c r="G34" s="157">
        <v>0.05</v>
      </c>
      <c r="H34" s="138">
        <v>0.84097222222222223</v>
      </c>
      <c r="I34" s="138">
        <v>0.89097222222222228</v>
      </c>
      <c r="J34" s="139">
        <v>9000</v>
      </c>
      <c r="K34" s="138">
        <v>0</v>
      </c>
      <c r="L34" s="138">
        <v>0</v>
      </c>
      <c r="M34" s="138">
        <v>0</v>
      </c>
      <c r="N34" s="140">
        <v>0</v>
      </c>
      <c r="O34" s="140">
        <v>0</v>
      </c>
      <c r="P34" s="140">
        <v>0</v>
      </c>
      <c r="Q34" s="140">
        <v>0</v>
      </c>
      <c r="R34" s="174">
        <v>0</v>
      </c>
      <c r="S34" s="105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3"/>
    </row>
    <row r="35" spans="2:31" ht="16.5" thickTop="1" thickBot="1" x14ac:dyDescent="0.3">
      <c r="B35" s="147"/>
      <c r="C35" s="163"/>
      <c r="D35" s="163" t="s">
        <v>267</v>
      </c>
      <c r="E35" s="162" t="s">
        <v>402</v>
      </c>
      <c r="F35" s="189" t="s">
        <v>267</v>
      </c>
      <c r="G35" s="158">
        <v>0.05</v>
      </c>
      <c r="H35" s="141">
        <v>0.84097222222222223</v>
      </c>
      <c r="I35" s="141">
        <v>0.89097222222222228</v>
      </c>
      <c r="J35" s="142">
        <v>9000</v>
      </c>
      <c r="K35" s="141">
        <v>0</v>
      </c>
      <c r="L35" s="141">
        <v>0</v>
      </c>
      <c r="M35" s="141">
        <v>0</v>
      </c>
      <c r="N35" s="143">
        <v>0</v>
      </c>
      <c r="O35" s="143">
        <v>0</v>
      </c>
      <c r="P35" s="143">
        <v>0</v>
      </c>
      <c r="Q35" s="143">
        <v>0</v>
      </c>
      <c r="R35" s="175">
        <v>0</v>
      </c>
      <c r="S35" s="105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3"/>
    </row>
    <row r="36" spans="2:31" ht="16.5" thickTop="1" thickBot="1" x14ac:dyDescent="0.3">
      <c r="B36" s="147"/>
      <c r="C36" s="163"/>
      <c r="D36" s="163"/>
      <c r="E36" s="164" t="s">
        <v>268</v>
      </c>
      <c r="F36" s="188" t="s">
        <v>268</v>
      </c>
      <c r="G36" s="157">
        <v>0.05</v>
      </c>
      <c r="H36" s="138">
        <v>0.84097222222222223</v>
      </c>
      <c r="I36" s="138">
        <v>0.89097222222222228</v>
      </c>
      <c r="J36" s="139">
        <v>9000</v>
      </c>
      <c r="K36" s="138">
        <v>0</v>
      </c>
      <c r="L36" s="138">
        <v>0</v>
      </c>
      <c r="M36" s="138">
        <v>0</v>
      </c>
      <c r="N36" s="140">
        <v>0</v>
      </c>
      <c r="O36" s="140">
        <v>0</v>
      </c>
      <c r="P36" s="140">
        <v>0</v>
      </c>
      <c r="Q36" s="140">
        <v>0</v>
      </c>
      <c r="R36" s="174">
        <v>0</v>
      </c>
      <c r="S36" s="105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3"/>
    </row>
    <row r="37" spans="2:31" ht="16.5" thickTop="1" thickBot="1" x14ac:dyDescent="0.3">
      <c r="B37" s="147"/>
      <c r="C37" s="163"/>
      <c r="D37" s="163" t="s">
        <v>273</v>
      </c>
      <c r="E37" s="162" t="s">
        <v>402</v>
      </c>
      <c r="F37" s="188" t="s">
        <v>273</v>
      </c>
      <c r="G37" s="157">
        <v>0.1</v>
      </c>
      <c r="H37" s="138">
        <v>1.6819444444444445</v>
      </c>
      <c r="I37" s="138">
        <v>1.7819444444444446</v>
      </c>
      <c r="J37" s="139">
        <v>18000</v>
      </c>
      <c r="K37" s="138">
        <v>0</v>
      </c>
      <c r="L37" s="138">
        <v>0</v>
      </c>
      <c r="M37" s="138">
        <v>0</v>
      </c>
      <c r="N37" s="140">
        <v>0</v>
      </c>
      <c r="O37" s="140">
        <v>0</v>
      </c>
      <c r="P37" s="140">
        <v>0</v>
      </c>
      <c r="Q37" s="140">
        <v>0</v>
      </c>
      <c r="R37" s="174">
        <v>0</v>
      </c>
      <c r="S37" s="105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3"/>
    </row>
    <row r="38" spans="2:31" ht="16.5" thickTop="1" thickBot="1" x14ac:dyDescent="0.3">
      <c r="B38" s="147"/>
      <c r="C38" s="163"/>
      <c r="D38" s="163"/>
      <c r="E38" s="163" t="s">
        <v>274</v>
      </c>
      <c r="F38" s="189" t="s">
        <v>274</v>
      </c>
      <c r="G38" s="158">
        <v>0.05</v>
      </c>
      <c r="H38" s="141">
        <v>0.84097222222222223</v>
      </c>
      <c r="I38" s="141">
        <v>0.89097222222222228</v>
      </c>
      <c r="J38" s="142">
        <v>9000</v>
      </c>
      <c r="K38" s="141">
        <v>0</v>
      </c>
      <c r="L38" s="141">
        <v>0</v>
      </c>
      <c r="M38" s="141">
        <v>0</v>
      </c>
      <c r="N38" s="143">
        <v>0</v>
      </c>
      <c r="O38" s="143">
        <v>0</v>
      </c>
      <c r="P38" s="143">
        <v>0</v>
      </c>
      <c r="Q38" s="143">
        <v>0</v>
      </c>
      <c r="R38" s="175">
        <v>0</v>
      </c>
      <c r="S38" s="105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3"/>
    </row>
    <row r="39" spans="2:31" ht="16.5" thickTop="1" thickBot="1" x14ac:dyDescent="0.3">
      <c r="B39" s="147"/>
      <c r="C39" s="163"/>
      <c r="D39" s="163"/>
      <c r="E39" s="164" t="s">
        <v>277</v>
      </c>
      <c r="F39" s="189" t="s">
        <v>277</v>
      </c>
      <c r="G39" s="158">
        <v>0.05</v>
      </c>
      <c r="H39" s="141">
        <v>0.84097222222222223</v>
      </c>
      <c r="I39" s="141">
        <v>0.89097222222222228</v>
      </c>
      <c r="J39" s="142">
        <v>9000</v>
      </c>
      <c r="K39" s="141">
        <v>0</v>
      </c>
      <c r="L39" s="141">
        <v>0</v>
      </c>
      <c r="M39" s="141">
        <v>0</v>
      </c>
      <c r="N39" s="143">
        <v>0</v>
      </c>
      <c r="O39" s="143">
        <v>0</v>
      </c>
      <c r="P39" s="143">
        <v>0</v>
      </c>
      <c r="Q39" s="143">
        <v>0</v>
      </c>
      <c r="R39" s="175">
        <v>0</v>
      </c>
      <c r="S39" s="105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3"/>
    </row>
    <row r="40" spans="2:31" ht="16.5" thickTop="1" thickBot="1" x14ac:dyDescent="0.3">
      <c r="B40" s="147"/>
      <c r="C40" s="163"/>
      <c r="D40" s="163" t="s">
        <v>134</v>
      </c>
      <c r="E40" s="162" t="s">
        <v>402</v>
      </c>
      <c r="F40" s="188" t="s">
        <v>134</v>
      </c>
      <c r="G40" s="157">
        <v>0.05</v>
      </c>
      <c r="H40" s="138">
        <v>0.84097222222222223</v>
      </c>
      <c r="I40" s="138">
        <v>0.89097222222222228</v>
      </c>
      <c r="J40" s="139">
        <v>9000</v>
      </c>
      <c r="K40" s="138">
        <v>0</v>
      </c>
      <c r="L40" s="138">
        <v>0</v>
      </c>
      <c r="M40" s="138">
        <v>0</v>
      </c>
      <c r="N40" s="140">
        <v>0</v>
      </c>
      <c r="O40" s="140">
        <v>0</v>
      </c>
      <c r="P40" s="140">
        <v>0</v>
      </c>
      <c r="Q40" s="140">
        <v>0</v>
      </c>
      <c r="R40" s="174">
        <v>0</v>
      </c>
      <c r="S40" s="105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3"/>
    </row>
    <row r="41" spans="2:31" ht="16.5" thickTop="1" thickBot="1" x14ac:dyDescent="0.3">
      <c r="B41" s="147"/>
      <c r="C41" s="163"/>
      <c r="D41" s="164"/>
      <c r="E41" s="164" t="s">
        <v>134</v>
      </c>
      <c r="F41" s="188" t="s">
        <v>134</v>
      </c>
      <c r="G41" s="157">
        <v>0.05</v>
      </c>
      <c r="H41" s="138">
        <v>0.84097222222222223</v>
      </c>
      <c r="I41" s="138">
        <v>0.89097222222222228</v>
      </c>
      <c r="J41" s="139">
        <v>9000</v>
      </c>
      <c r="K41" s="138">
        <v>0</v>
      </c>
      <c r="L41" s="138">
        <v>0</v>
      </c>
      <c r="M41" s="138">
        <v>0</v>
      </c>
      <c r="N41" s="140">
        <v>0</v>
      </c>
      <c r="O41" s="140">
        <v>0</v>
      </c>
      <c r="P41" s="140">
        <v>0</v>
      </c>
      <c r="Q41" s="140">
        <v>0</v>
      </c>
      <c r="R41" s="174">
        <v>0</v>
      </c>
      <c r="S41" s="105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3"/>
    </row>
    <row r="42" spans="2:31" ht="16.5" thickTop="1" thickBot="1" x14ac:dyDescent="0.3">
      <c r="B42" s="147"/>
      <c r="C42" s="163" t="s">
        <v>164</v>
      </c>
      <c r="D42" s="165" t="s">
        <v>364</v>
      </c>
      <c r="E42" s="166" t="s">
        <v>364</v>
      </c>
      <c r="F42" s="187" t="s">
        <v>164</v>
      </c>
      <c r="G42" s="159">
        <v>0.45</v>
      </c>
      <c r="H42" s="144">
        <v>7.5687499999999996</v>
      </c>
      <c r="I42" s="144">
        <v>8.0187500000000007</v>
      </c>
      <c r="J42" s="145">
        <v>81000</v>
      </c>
      <c r="K42" s="144">
        <v>0</v>
      </c>
      <c r="L42" s="144">
        <v>0</v>
      </c>
      <c r="M42" s="144">
        <v>0</v>
      </c>
      <c r="N42" s="146">
        <v>0</v>
      </c>
      <c r="O42" s="146">
        <v>0</v>
      </c>
      <c r="P42" s="146">
        <v>0</v>
      </c>
      <c r="Q42" s="146">
        <v>0</v>
      </c>
      <c r="R42" s="176">
        <v>0</v>
      </c>
      <c r="S42" s="105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3"/>
    </row>
    <row r="43" spans="2:31" ht="16.5" thickTop="1" thickBot="1" x14ac:dyDescent="0.3">
      <c r="B43" s="147"/>
      <c r="C43" s="163"/>
      <c r="D43" s="163" t="s">
        <v>270</v>
      </c>
      <c r="E43" s="162" t="s">
        <v>402</v>
      </c>
      <c r="F43" s="188" t="s">
        <v>270</v>
      </c>
      <c r="G43" s="157">
        <v>0.1</v>
      </c>
      <c r="H43" s="138">
        <v>1.6819444444444445</v>
      </c>
      <c r="I43" s="138">
        <v>1.7819444444444446</v>
      </c>
      <c r="J43" s="139">
        <v>18000</v>
      </c>
      <c r="K43" s="138">
        <v>0</v>
      </c>
      <c r="L43" s="138">
        <v>0</v>
      </c>
      <c r="M43" s="138">
        <v>0</v>
      </c>
      <c r="N43" s="140">
        <v>0</v>
      </c>
      <c r="O43" s="140">
        <v>0</v>
      </c>
      <c r="P43" s="140">
        <v>0</v>
      </c>
      <c r="Q43" s="140">
        <v>0</v>
      </c>
      <c r="R43" s="174">
        <v>0</v>
      </c>
      <c r="S43" s="105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3"/>
    </row>
    <row r="44" spans="2:31" ht="16.5" thickTop="1" thickBot="1" x14ac:dyDescent="0.3">
      <c r="B44" s="147"/>
      <c r="C44" s="163"/>
      <c r="D44" s="163"/>
      <c r="E44" s="163" t="s">
        <v>275</v>
      </c>
      <c r="F44" s="189" t="s">
        <v>275</v>
      </c>
      <c r="G44" s="158">
        <v>0.05</v>
      </c>
      <c r="H44" s="141">
        <v>0.84097222222222223</v>
      </c>
      <c r="I44" s="141">
        <v>0.89097222222222228</v>
      </c>
      <c r="J44" s="142">
        <v>9000</v>
      </c>
      <c r="K44" s="141">
        <v>0</v>
      </c>
      <c r="L44" s="141">
        <v>0</v>
      </c>
      <c r="M44" s="141">
        <v>0</v>
      </c>
      <c r="N44" s="143">
        <v>0</v>
      </c>
      <c r="O44" s="143">
        <v>0</v>
      </c>
      <c r="P44" s="143">
        <v>0</v>
      </c>
      <c r="Q44" s="143">
        <v>0</v>
      </c>
      <c r="R44" s="175">
        <v>0</v>
      </c>
      <c r="S44" s="105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3"/>
    </row>
    <row r="45" spans="2:31" ht="16.5" thickTop="1" thickBot="1" x14ac:dyDescent="0.3">
      <c r="B45" s="147"/>
      <c r="C45" s="163"/>
      <c r="D45" s="163"/>
      <c r="E45" s="164" t="s">
        <v>278</v>
      </c>
      <c r="F45" s="189" t="s">
        <v>278</v>
      </c>
      <c r="G45" s="158">
        <v>0.05</v>
      </c>
      <c r="H45" s="141">
        <v>0.84097222222222223</v>
      </c>
      <c r="I45" s="141">
        <v>0.89097222222222228</v>
      </c>
      <c r="J45" s="142">
        <v>9000</v>
      </c>
      <c r="K45" s="141">
        <v>0</v>
      </c>
      <c r="L45" s="141">
        <v>0</v>
      </c>
      <c r="M45" s="141">
        <v>0</v>
      </c>
      <c r="N45" s="143">
        <v>0</v>
      </c>
      <c r="O45" s="143">
        <v>0</v>
      </c>
      <c r="P45" s="143">
        <v>0</v>
      </c>
      <c r="Q45" s="143">
        <v>0</v>
      </c>
      <c r="R45" s="175">
        <v>0</v>
      </c>
      <c r="S45" s="105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3"/>
    </row>
    <row r="46" spans="2:31" ht="16.5" thickTop="1" thickBot="1" x14ac:dyDescent="0.3">
      <c r="B46" s="147"/>
      <c r="C46" s="163"/>
      <c r="D46" s="163" t="s">
        <v>269</v>
      </c>
      <c r="E46" s="162" t="s">
        <v>402</v>
      </c>
      <c r="F46" s="188" t="s">
        <v>269</v>
      </c>
      <c r="G46" s="157">
        <v>0.05</v>
      </c>
      <c r="H46" s="138">
        <v>0.84097222222222223</v>
      </c>
      <c r="I46" s="138">
        <v>0.89097222222222228</v>
      </c>
      <c r="J46" s="139">
        <v>9000</v>
      </c>
      <c r="K46" s="138">
        <v>0</v>
      </c>
      <c r="L46" s="138">
        <v>0</v>
      </c>
      <c r="M46" s="138">
        <v>0</v>
      </c>
      <c r="N46" s="140">
        <v>0</v>
      </c>
      <c r="O46" s="140">
        <v>0</v>
      </c>
      <c r="P46" s="140">
        <v>0</v>
      </c>
      <c r="Q46" s="140">
        <v>0</v>
      </c>
      <c r="R46" s="174">
        <v>0</v>
      </c>
      <c r="S46" s="105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3"/>
    </row>
    <row r="47" spans="2:31" ht="16.5" thickTop="1" thickBot="1" x14ac:dyDescent="0.3">
      <c r="B47" s="147"/>
      <c r="C47" s="163"/>
      <c r="D47" s="163"/>
      <c r="E47" s="164" t="s">
        <v>269</v>
      </c>
      <c r="F47" s="188" t="s">
        <v>269</v>
      </c>
      <c r="G47" s="157">
        <v>0.05</v>
      </c>
      <c r="H47" s="138">
        <v>0.84097222222222223</v>
      </c>
      <c r="I47" s="138">
        <v>0.89097222222222228</v>
      </c>
      <c r="J47" s="139">
        <v>9000</v>
      </c>
      <c r="K47" s="138">
        <v>0</v>
      </c>
      <c r="L47" s="138">
        <v>0</v>
      </c>
      <c r="M47" s="138">
        <v>0</v>
      </c>
      <c r="N47" s="140">
        <v>0</v>
      </c>
      <c r="O47" s="140">
        <v>0</v>
      </c>
      <c r="P47" s="140">
        <v>0</v>
      </c>
      <c r="Q47" s="140">
        <v>0</v>
      </c>
      <c r="R47" s="174">
        <v>0</v>
      </c>
      <c r="S47" s="105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3"/>
    </row>
    <row r="48" spans="2:31" ht="16.5" thickTop="1" thickBot="1" x14ac:dyDescent="0.3">
      <c r="B48" s="147"/>
      <c r="C48" s="163"/>
      <c r="D48" s="163" t="s">
        <v>271</v>
      </c>
      <c r="E48" s="162" t="s">
        <v>402</v>
      </c>
      <c r="F48" s="188" t="s">
        <v>271</v>
      </c>
      <c r="G48" s="157">
        <v>0.05</v>
      </c>
      <c r="H48" s="138">
        <v>0.84097222222222223</v>
      </c>
      <c r="I48" s="138">
        <v>0.89097222222222228</v>
      </c>
      <c r="J48" s="139">
        <v>9000</v>
      </c>
      <c r="K48" s="138">
        <v>0</v>
      </c>
      <c r="L48" s="138">
        <v>0</v>
      </c>
      <c r="M48" s="138">
        <v>0</v>
      </c>
      <c r="N48" s="140">
        <v>0</v>
      </c>
      <c r="O48" s="140">
        <v>0</v>
      </c>
      <c r="P48" s="140">
        <v>0</v>
      </c>
      <c r="Q48" s="140">
        <v>0</v>
      </c>
      <c r="R48" s="174">
        <v>0</v>
      </c>
      <c r="S48" s="105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3"/>
    </row>
    <row r="49" spans="2:31" ht="16.5" thickTop="1" thickBot="1" x14ac:dyDescent="0.3">
      <c r="B49" s="147"/>
      <c r="C49" s="163"/>
      <c r="D49" s="163"/>
      <c r="E49" s="164" t="s">
        <v>271</v>
      </c>
      <c r="F49" s="188" t="s">
        <v>271</v>
      </c>
      <c r="G49" s="157">
        <v>0.05</v>
      </c>
      <c r="H49" s="138">
        <v>0.84097222222222223</v>
      </c>
      <c r="I49" s="138">
        <v>0.89097222222222228</v>
      </c>
      <c r="J49" s="139">
        <v>9000</v>
      </c>
      <c r="K49" s="138">
        <v>0</v>
      </c>
      <c r="L49" s="138">
        <v>0</v>
      </c>
      <c r="M49" s="138">
        <v>0</v>
      </c>
      <c r="N49" s="140">
        <v>0</v>
      </c>
      <c r="O49" s="140">
        <v>0</v>
      </c>
      <c r="P49" s="140">
        <v>0</v>
      </c>
      <c r="Q49" s="140">
        <v>0</v>
      </c>
      <c r="R49" s="174">
        <v>0</v>
      </c>
      <c r="S49" s="105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3"/>
    </row>
    <row r="50" spans="2:31" ht="16.5" thickTop="1" thickBot="1" x14ac:dyDescent="0.3">
      <c r="B50" s="147"/>
      <c r="C50" s="163"/>
      <c r="D50" s="163" t="s">
        <v>272</v>
      </c>
      <c r="E50" s="162" t="s">
        <v>402</v>
      </c>
      <c r="F50" s="188" t="s">
        <v>272</v>
      </c>
      <c r="G50" s="157">
        <v>0.05</v>
      </c>
      <c r="H50" s="138">
        <v>0.84097222222222223</v>
      </c>
      <c r="I50" s="138">
        <v>0.89097222222222228</v>
      </c>
      <c r="J50" s="139">
        <v>9000</v>
      </c>
      <c r="K50" s="138">
        <v>0</v>
      </c>
      <c r="L50" s="138">
        <v>0</v>
      </c>
      <c r="M50" s="138">
        <v>0</v>
      </c>
      <c r="N50" s="140">
        <v>0</v>
      </c>
      <c r="O50" s="140">
        <v>0</v>
      </c>
      <c r="P50" s="140">
        <v>0</v>
      </c>
      <c r="Q50" s="140">
        <v>0</v>
      </c>
      <c r="R50" s="174">
        <v>0</v>
      </c>
      <c r="S50" s="105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3"/>
    </row>
    <row r="51" spans="2:31" ht="16.5" thickTop="1" thickBot="1" x14ac:dyDescent="0.3">
      <c r="B51" s="147"/>
      <c r="C51" s="163"/>
      <c r="D51" s="163"/>
      <c r="E51" s="164" t="s">
        <v>272</v>
      </c>
      <c r="F51" s="188" t="s">
        <v>272</v>
      </c>
      <c r="G51" s="157">
        <v>0.05</v>
      </c>
      <c r="H51" s="138">
        <v>0.84097222222222223</v>
      </c>
      <c r="I51" s="138">
        <v>0.89097222222222228</v>
      </c>
      <c r="J51" s="139">
        <v>9000</v>
      </c>
      <c r="K51" s="138">
        <v>0</v>
      </c>
      <c r="L51" s="138">
        <v>0</v>
      </c>
      <c r="M51" s="138">
        <v>0</v>
      </c>
      <c r="N51" s="140">
        <v>0</v>
      </c>
      <c r="O51" s="140">
        <v>0</v>
      </c>
      <c r="P51" s="140">
        <v>0</v>
      </c>
      <c r="Q51" s="140">
        <v>0</v>
      </c>
      <c r="R51" s="174">
        <v>0</v>
      </c>
      <c r="S51" s="105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3"/>
    </row>
    <row r="52" spans="2:31" ht="16.5" thickTop="1" thickBot="1" x14ac:dyDescent="0.3">
      <c r="B52" s="147"/>
      <c r="C52" s="163"/>
      <c r="D52" s="163" t="s">
        <v>267</v>
      </c>
      <c r="E52" s="162" t="s">
        <v>402</v>
      </c>
      <c r="F52" s="189" t="s">
        <v>267</v>
      </c>
      <c r="G52" s="158">
        <v>0.05</v>
      </c>
      <c r="H52" s="141">
        <v>0.84097222222222223</v>
      </c>
      <c r="I52" s="141">
        <v>0.89097222222222228</v>
      </c>
      <c r="J52" s="142">
        <v>9000</v>
      </c>
      <c r="K52" s="141">
        <v>0</v>
      </c>
      <c r="L52" s="141">
        <v>0</v>
      </c>
      <c r="M52" s="141">
        <v>0</v>
      </c>
      <c r="N52" s="143">
        <v>0</v>
      </c>
      <c r="O52" s="143">
        <v>0</v>
      </c>
      <c r="P52" s="143">
        <v>0</v>
      </c>
      <c r="Q52" s="143">
        <v>0</v>
      </c>
      <c r="R52" s="175">
        <v>0</v>
      </c>
      <c r="S52" s="105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3"/>
    </row>
    <row r="53" spans="2:31" ht="16.5" thickTop="1" thickBot="1" x14ac:dyDescent="0.3">
      <c r="B53" s="147"/>
      <c r="C53" s="163"/>
      <c r="D53" s="163"/>
      <c r="E53" s="164" t="s">
        <v>268</v>
      </c>
      <c r="F53" s="188" t="s">
        <v>268</v>
      </c>
      <c r="G53" s="157">
        <v>0.05</v>
      </c>
      <c r="H53" s="138">
        <v>0.84097222222222223</v>
      </c>
      <c r="I53" s="138">
        <v>0.89097222222222228</v>
      </c>
      <c r="J53" s="139">
        <v>9000</v>
      </c>
      <c r="K53" s="138">
        <v>0</v>
      </c>
      <c r="L53" s="138">
        <v>0</v>
      </c>
      <c r="M53" s="138">
        <v>0</v>
      </c>
      <c r="N53" s="140">
        <v>0</v>
      </c>
      <c r="O53" s="140">
        <v>0</v>
      </c>
      <c r="P53" s="140">
        <v>0</v>
      </c>
      <c r="Q53" s="140">
        <v>0</v>
      </c>
      <c r="R53" s="174">
        <v>0</v>
      </c>
      <c r="S53" s="105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3"/>
    </row>
    <row r="54" spans="2:31" ht="16.5" thickTop="1" thickBot="1" x14ac:dyDescent="0.3">
      <c r="B54" s="147"/>
      <c r="C54" s="163"/>
      <c r="D54" s="163" t="s">
        <v>273</v>
      </c>
      <c r="E54" s="162" t="s">
        <v>402</v>
      </c>
      <c r="F54" s="188" t="s">
        <v>273</v>
      </c>
      <c r="G54" s="157">
        <v>0.1</v>
      </c>
      <c r="H54" s="138">
        <v>1.6819444444444445</v>
      </c>
      <c r="I54" s="138">
        <v>1.7819444444444446</v>
      </c>
      <c r="J54" s="139">
        <v>18000</v>
      </c>
      <c r="K54" s="138">
        <v>0</v>
      </c>
      <c r="L54" s="138">
        <v>0</v>
      </c>
      <c r="M54" s="138">
        <v>0</v>
      </c>
      <c r="N54" s="140">
        <v>0</v>
      </c>
      <c r="O54" s="140">
        <v>0</v>
      </c>
      <c r="P54" s="140">
        <v>0</v>
      </c>
      <c r="Q54" s="140">
        <v>0</v>
      </c>
      <c r="R54" s="174">
        <v>0</v>
      </c>
      <c r="S54" s="105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3"/>
    </row>
    <row r="55" spans="2:31" ht="16.5" thickTop="1" thickBot="1" x14ac:dyDescent="0.3">
      <c r="B55" s="147"/>
      <c r="C55" s="163"/>
      <c r="D55" s="163"/>
      <c r="E55" s="163" t="s">
        <v>274</v>
      </c>
      <c r="F55" s="189" t="s">
        <v>274</v>
      </c>
      <c r="G55" s="158">
        <v>0.05</v>
      </c>
      <c r="H55" s="141">
        <v>0.84097222222222223</v>
      </c>
      <c r="I55" s="141">
        <v>0.89097222222222228</v>
      </c>
      <c r="J55" s="142">
        <v>9000</v>
      </c>
      <c r="K55" s="141">
        <v>0</v>
      </c>
      <c r="L55" s="141">
        <v>0</v>
      </c>
      <c r="M55" s="141">
        <v>0</v>
      </c>
      <c r="N55" s="143">
        <v>0</v>
      </c>
      <c r="O55" s="143">
        <v>0</v>
      </c>
      <c r="P55" s="143">
        <v>0</v>
      </c>
      <c r="Q55" s="143">
        <v>0</v>
      </c>
      <c r="R55" s="175">
        <v>0</v>
      </c>
      <c r="S55" s="105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3"/>
    </row>
    <row r="56" spans="2:31" ht="16.5" thickTop="1" thickBot="1" x14ac:dyDescent="0.3">
      <c r="B56" s="147"/>
      <c r="C56" s="163"/>
      <c r="D56" s="163"/>
      <c r="E56" s="164" t="s">
        <v>277</v>
      </c>
      <c r="F56" s="189" t="s">
        <v>277</v>
      </c>
      <c r="G56" s="158">
        <v>0.05</v>
      </c>
      <c r="H56" s="141">
        <v>0.84097222222222223</v>
      </c>
      <c r="I56" s="141">
        <v>0.89097222222222228</v>
      </c>
      <c r="J56" s="142">
        <v>9000</v>
      </c>
      <c r="K56" s="141">
        <v>0</v>
      </c>
      <c r="L56" s="141">
        <v>0</v>
      </c>
      <c r="M56" s="141">
        <v>0</v>
      </c>
      <c r="N56" s="143">
        <v>0</v>
      </c>
      <c r="O56" s="143">
        <v>0</v>
      </c>
      <c r="P56" s="143">
        <v>0</v>
      </c>
      <c r="Q56" s="143">
        <v>0</v>
      </c>
      <c r="R56" s="175">
        <v>0</v>
      </c>
      <c r="S56" s="105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3"/>
    </row>
    <row r="57" spans="2:31" ht="16.5" thickTop="1" thickBot="1" x14ac:dyDescent="0.3">
      <c r="B57" s="147"/>
      <c r="C57" s="163"/>
      <c r="D57" s="163" t="s">
        <v>134</v>
      </c>
      <c r="E57" s="162" t="s">
        <v>402</v>
      </c>
      <c r="F57" s="188" t="s">
        <v>134</v>
      </c>
      <c r="G57" s="157">
        <v>0.05</v>
      </c>
      <c r="H57" s="138">
        <v>0.84097222222222223</v>
      </c>
      <c r="I57" s="138">
        <v>0.89097222222222228</v>
      </c>
      <c r="J57" s="139">
        <v>9000</v>
      </c>
      <c r="K57" s="138">
        <v>0</v>
      </c>
      <c r="L57" s="138">
        <v>0</v>
      </c>
      <c r="M57" s="138">
        <v>0</v>
      </c>
      <c r="N57" s="140">
        <v>0</v>
      </c>
      <c r="O57" s="140">
        <v>0</v>
      </c>
      <c r="P57" s="140">
        <v>0</v>
      </c>
      <c r="Q57" s="140">
        <v>0</v>
      </c>
      <c r="R57" s="174">
        <v>0</v>
      </c>
      <c r="S57" s="105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3"/>
    </row>
    <row r="58" spans="2:31" ht="16.5" thickTop="1" thickBot="1" x14ac:dyDescent="0.3">
      <c r="B58" s="147"/>
      <c r="C58" s="163"/>
      <c r="D58" s="164"/>
      <c r="E58" s="164" t="s">
        <v>134</v>
      </c>
      <c r="F58" s="188" t="s">
        <v>134</v>
      </c>
      <c r="G58" s="157">
        <v>0.05</v>
      </c>
      <c r="H58" s="138">
        <v>0.84097222222222223</v>
      </c>
      <c r="I58" s="138">
        <v>0.89097222222222228</v>
      </c>
      <c r="J58" s="139">
        <v>9000</v>
      </c>
      <c r="K58" s="138">
        <v>0</v>
      </c>
      <c r="L58" s="138">
        <v>0</v>
      </c>
      <c r="M58" s="138">
        <v>0</v>
      </c>
      <c r="N58" s="140">
        <v>0</v>
      </c>
      <c r="O58" s="140">
        <v>0</v>
      </c>
      <c r="P58" s="140">
        <v>0</v>
      </c>
      <c r="Q58" s="140">
        <v>0</v>
      </c>
      <c r="R58" s="174">
        <v>0</v>
      </c>
      <c r="S58" s="105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3"/>
    </row>
    <row r="59" spans="2:31" ht="16.5" thickTop="1" thickBot="1" x14ac:dyDescent="0.3">
      <c r="B59" s="147"/>
      <c r="C59" s="163" t="s">
        <v>162</v>
      </c>
      <c r="D59" s="165" t="s">
        <v>364</v>
      </c>
      <c r="E59" s="166" t="s">
        <v>364</v>
      </c>
      <c r="F59" s="187" t="s">
        <v>162</v>
      </c>
      <c r="G59" s="159">
        <v>0.5</v>
      </c>
      <c r="H59" s="144">
        <v>8.4097222222222214</v>
      </c>
      <c r="I59" s="144">
        <v>8.9097222222222214</v>
      </c>
      <c r="J59" s="145">
        <v>90000</v>
      </c>
      <c r="K59" s="144">
        <v>0.40208333333333335</v>
      </c>
      <c r="L59" s="144">
        <v>0.14166666666666666</v>
      </c>
      <c r="M59" s="144">
        <v>0.54374999999999996</v>
      </c>
      <c r="N59" s="146">
        <v>6666</v>
      </c>
      <c r="O59" s="146">
        <v>2342</v>
      </c>
      <c r="P59" s="146">
        <v>9008</v>
      </c>
      <c r="Q59" s="146">
        <v>0</v>
      </c>
      <c r="R59" s="176">
        <v>9008</v>
      </c>
      <c r="S59" s="105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3"/>
    </row>
    <row r="60" spans="2:31" ht="16.5" thickTop="1" thickBot="1" x14ac:dyDescent="0.3">
      <c r="B60" s="147"/>
      <c r="C60" s="163"/>
      <c r="D60" s="163" t="s">
        <v>270</v>
      </c>
      <c r="E60" s="162" t="s">
        <v>402</v>
      </c>
      <c r="F60" s="188" t="s">
        <v>270</v>
      </c>
      <c r="G60" s="157">
        <v>0.15</v>
      </c>
      <c r="H60" s="138">
        <v>2.5229166666666667</v>
      </c>
      <c r="I60" s="138">
        <v>2.6729166666666666</v>
      </c>
      <c r="J60" s="139">
        <v>27000</v>
      </c>
      <c r="K60" s="138">
        <v>0.25416666666666665</v>
      </c>
      <c r="L60" s="138">
        <v>0.14166666666666666</v>
      </c>
      <c r="M60" s="138">
        <v>0.39583333333333331</v>
      </c>
      <c r="N60" s="140">
        <v>4324</v>
      </c>
      <c r="O60" s="140">
        <v>2342</v>
      </c>
      <c r="P60" s="140">
        <v>6666</v>
      </c>
      <c r="Q60" s="140">
        <v>0</v>
      </c>
      <c r="R60" s="174">
        <v>6666</v>
      </c>
      <c r="S60" s="105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3"/>
    </row>
    <row r="61" spans="2:31" ht="16.5" thickTop="1" thickBot="1" x14ac:dyDescent="0.3">
      <c r="B61" s="147"/>
      <c r="C61" s="163"/>
      <c r="D61" s="163"/>
      <c r="E61" s="163" t="s">
        <v>275</v>
      </c>
      <c r="F61" s="189" t="s">
        <v>275</v>
      </c>
      <c r="G61" s="158">
        <v>0.05</v>
      </c>
      <c r="H61" s="141">
        <v>0.84097222222222223</v>
      </c>
      <c r="I61" s="141">
        <v>0.89097222222222228</v>
      </c>
      <c r="J61" s="142">
        <v>9000</v>
      </c>
      <c r="K61" s="141">
        <v>0.11388888888888889</v>
      </c>
      <c r="L61" s="141">
        <v>0</v>
      </c>
      <c r="M61" s="141">
        <v>0.11388888888888889</v>
      </c>
      <c r="N61" s="143">
        <v>2000</v>
      </c>
      <c r="O61" s="143">
        <v>0</v>
      </c>
      <c r="P61" s="143">
        <v>2000</v>
      </c>
      <c r="Q61" s="143">
        <v>0</v>
      </c>
      <c r="R61" s="175">
        <v>2000</v>
      </c>
      <c r="S61" s="105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3"/>
    </row>
    <row r="62" spans="2:31" ht="16.5" thickTop="1" thickBot="1" x14ac:dyDescent="0.3">
      <c r="B62" s="147"/>
      <c r="C62" s="163"/>
      <c r="D62" s="163"/>
      <c r="E62" s="164" t="s">
        <v>278</v>
      </c>
      <c r="F62" s="189" t="s">
        <v>278</v>
      </c>
      <c r="G62" s="158">
        <v>0.1</v>
      </c>
      <c r="H62" s="141">
        <v>1.6819444444444445</v>
      </c>
      <c r="I62" s="141">
        <v>1.7819444444444446</v>
      </c>
      <c r="J62" s="142">
        <v>18000</v>
      </c>
      <c r="K62" s="141">
        <v>0.14027777777777778</v>
      </c>
      <c r="L62" s="141">
        <v>0.14166666666666666</v>
      </c>
      <c r="M62" s="141">
        <v>0.28194444444444444</v>
      </c>
      <c r="N62" s="143">
        <v>2324</v>
      </c>
      <c r="O62" s="143">
        <v>2342</v>
      </c>
      <c r="P62" s="143">
        <v>4666</v>
      </c>
      <c r="Q62" s="143">
        <v>0</v>
      </c>
      <c r="R62" s="175">
        <v>4666</v>
      </c>
      <c r="S62" s="105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3"/>
    </row>
    <row r="63" spans="2:31" ht="16.5" thickTop="1" thickBot="1" x14ac:dyDescent="0.3">
      <c r="B63" s="147"/>
      <c r="C63" s="163"/>
      <c r="D63" s="163" t="s">
        <v>269</v>
      </c>
      <c r="E63" s="162" t="s">
        <v>402</v>
      </c>
      <c r="F63" s="188" t="s">
        <v>269</v>
      </c>
      <c r="G63" s="157">
        <v>0.05</v>
      </c>
      <c r="H63" s="138">
        <v>0.84097222222222223</v>
      </c>
      <c r="I63" s="138">
        <v>0.89097222222222228</v>
      </c>
      <c r="J63" s="139">
        <v>9000</v>
      </c>
      <c r="K63" s="138">
        <v>0</v>
      </c>
      <c r="L63" s="138">
        <v>0</v>
      </c>
      <c r="M63" s="138">
        <v>0</v>
      </c>
      <c r="N63" s="140">
        <v>0</v>
      </c>
      <c r="O63" s="140">
        <v>0</v>
      </c>
      <c r="P63" s="140">
        <v>0</v>
      </c>
      <c r="Q63" s="140">
        <v>0</v>
      </c>
      <c r="R63" s="174">
        <v>0</v>
      </c>
      <c r="S63" s="105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3"/>
    </row>
    <row r="64" spans="2:31" ht="16.5" thickTop="1" thickBot="1" x14ac:dyDescent="0.3">
      <c r="B64" s="147"/>
      <c r="C64" s="163"/>
      <c r="D64" s="163"/>
      <c r="E64" s="164" t="s">
        <v>269</v>
      </c>
      <c r="F64" s="188" t="s">
        <v>269</v>
      </c>
      <c r="G64" s="157">
        <v>0.05</v>
      </c>
      <c r="H64" s="138">
        <v>0.84097222222222223</v>
      </c>
      <c r="I64" s="138">
        <v>0.89097222222222228</v>
      </c>
      <c r="J64" s="139">
        <v>9000</v>
      </c>
      <c r="K64" s="138">
        <v>0</v>
      </c>
      <c r="L64" s="138">
        <v>0</v>
      </c>
      <c r="M64" s="138">
        <v>0</v>
      </c>
      <c r="N64" s="140">
        <v>0</v>
      </c>
      <c r="O64" s="140">
        <v>0</v>
      </c>
      <c r="P64" s="140">
        <v>0</v>
      </c>
      <c r="Q64" s="140">
        <v>0</v>
      </c>
      <c r="R64" s="174">
        <v>0</v>
      </c>
      <c r="S64" s="105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3"/>
    </row>
    <row r="65" spans="2:31" ht="16.5" thickTop="1" thickBot="1" x14ac:dyDescent="0.3">
      <c r="B65" s="147"/>
      <c r="C65" s="163"/>
      <c r="D65" s="163" t="s">
        <v>271</v>
      </c>
      <c r="E65" s="162" t="s">
        <v>402</v>
      </c>
      <c r="F65" s="188" t="s">
        <v>271</v>
      </c>
      <c r="G65" s="157">
        <v>0.05</v>
      </c>
      <c r="H65" s="138">
        <v>0.84097222222222223</v>
      </c>
      <c r="I65" s="138">
        <v>0.89097222222222228</v>
      </c>
      <c r="J65" s="139">
        <v>9000</v>
      </c>
      <c r="K65" s="138">
        <v>0</v>
      </c>
      <c r="L65" s="138">
        <v>0</v>
      </c>
      <c r="M65" s="138">
        <v>0</v>
      </c>
      <c r="N65" s="140">
        <v>0</v>
      </c>
      <c r="O65" s="140">
        <v>0</v>
      </c>
      <c r="P65" s="140">
        <v>0</v>
      </c>
      <c r="Q65" s="140">
        <v>0</v>
      </c>
      <c r="R65" s="174">
        <v>0</v>
      </c>
      <c r="S65" s="105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3"/>
    </row>
    <row r="66" spans="2:31" ht="16.5" thickTop="1" thickBot="1" x14ac:dyDescent="0.3">
      <c r="B66" s="147"/>
      <c r="C66" s="163"/>
      <c r="D66" s="163"/>
      <c r="E66" s="164" t="s">
        <v>271</v>
      </c>
      <c r="F66" s="188" t="s">
        <v>271</v>
      </c>
      <c r="G66" s="157">
        <v>0.05</v>
      </c>
      <c r="H66" s="138">
        <v>0.84097222222222223</v>
      </c>
      <c r="I66" s="138">
        <v>0.89097222222222228</v>
      </c>
      <c r="J66" s="139">
        <v>9000</v>
      </c>
      <c r="K66" s="138">
        <v>0</v>
      </c>
      <c r="L66" s="138">
        <v>0</v>
      </c>
      <c r="M66" s="138">
        <v>0</v>
      </c>
      <c r="N66" s="140">
        <v>0</v>
      </c>
      <c r="O66" s="140">
        <v>0</v>
      </c>
      <c r="P66" s="140">
        <v>0</v>
      </c>
      <c r="Q66" s="140">
        <v>0</v>
      </c>
      <c r="R66" s="174">
        <v>0</v>
      </c>
      <c r="S66" s="105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3"/>
    </row>
    <row r="67" spans="2:31" ht="16.5" thickTop="1" thickBot="1" x14ac:dyDescent="0.3">
      <c r="B67" s="147"/>
      <c r="C67" s="163"/>
      <c r="D67" s="163" t="s">
        <v>272</v>
      </c>
      <c r="E67" s="162" t="s">
        <v>402</v>
      </c>
      <c r="F67" s="188" t="s">
        <v>272</v>
      </c>
      <c r="G67" s="157">
        <v>0.05</v>
      </c>
      <c r="H67" s="138">
        <v>0.84097222222222223</v>
      </c>
      <c r="I67" s="138">
        <v>0.89097222222222228</v>
      </c>
      <c r="J67" s="139">
        <v>9000</v>
      </c>
      <c r="K67" s="138">
        <v>0</v>
      </c>
      <c r="L67" s="138">
        <v>0</v>
      </c>
      <c r="M67" s="138">
        <v>0</v>
      </c>
      <c r="N67" s="140">
        <v>0</v>
      </c>
      <c r="O67" s="140">
        <v>0</v>
      </c>
      <c r="P67" s="140">
        <v>0</v>
      </c>
      <c r="Q67" s="140">
        <v>0</v>
      </c>
      <c r="R67" s="174">
        <v>0</v>
      </c>
      <c r="S67" s="105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3"/>
    </row>
    <row r="68" spans="2:31" ht="16.5" thickTop="1" thickBot="1" x14ac:dyDescent="0.3">
      <c r="B68" s="147"/>
      <c r="C68" s="163"/>
      <c r="D68" s="163"/>
      <c r="E68" s="164" t="s">
        <v>272</v>
      </c>
      <c r="F68" s="188" t="s">
        <v>272</v>
      </c>
      <c r="G68" s="157">
        <v>0.05</v>
      </c>
      <c r="H68" s="138">
        <v>0.84097222222222223</v>
      </c>
      <c r="I68" s="138">
        <v>0.89097222222222228</v>
      </c>
      <c r="J68" s="139">
        <v>9000</v>
      </c>
      <c r="K68" s="138">
        <v>0</v>
      </c>
      <c r="L68" s="138">
        <v>0</v>
      </c>
      <c r="M68" s="138">
        <v>0</v>
      </c>
      <c r="N68" s="140">
        <v>0</v>
      </c>
      <c r="O68" s="140">
        <v>0</v>
      </c>
      <c r="P68" s="140">
        <v>0</v>
      </c>
      <c r="Q68" s="140">
        <v>0</v>
      </c>
      <c r="R68" s="174">
        <v>0</v>
      </c>
      <c r="S68" s="105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3"/>
    </row>
    <row r="69" spans="2:31" ht="16.5" thickTop="1" thickBot="1" x14ac:dyDescent="0.3">
      <c r="B69" s="147"/>
      <c r="C69" s="163"/>
      <c r="D69" s="163" t="s">
        <v>267</v>
      </c>
      <c r="E69" s="162" t="s">
        <v>402</v>
      </c>
      <c r="F69" s="189" t="s">
        <v>267</v>
      </c>
      <c r="G69" s="158">
        <v>0.05</v>
      </c>
      <c r="H69" s="141">
        <v>0.84097222222222223</v>
      </c>
      <c r="I69" s="141">
        <v>0.89097222222222228</v>
      </c>
      <c r="J69" s="142">
        <v>9000</v>
      </c>
      <c r="K69" s="141">
        <v>0.14791666666666667</v>
      </c>
      <c r="L69" s="141">
        <v>0</v>
      </c>
      <c r="M69" s="141">
        <v>0.14791666666666667</v>
      </c>
      <c r="N69" s="143">
        <v>2342</v>
      </c>
      <c r="O69" s="143">
        <v>0</v>
      </c>
      <c r="P69" s="143">
        <v>2342</v>
      </c>
      <c r="Q69" s="143">
        <v>0</v>
      </c>
      <c r="R69" s="175">
        <v>2342</v>
      </c>
      <c r="S69" s="105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3"/>
    </row>
    <row r="70" spans="2:31" ht="16.5" thickTop="1" thickBot="1" x14ac:dyDescent="0.3">
      <c r="B70" s="147"/>
      <c r="C70" s="163"/>
      <c r="D70" s="163"/>
      <c r="E70" s="164" t="s">
        <v>268</v>
      </c>
      <c r="F70" s="188" t="s">
        <v>268</v>
      </c>
      <c r="G70" s="157">
        <v>0.05</v>
      </c>
      <c r="H70" s="138">
        <v>0.84097222222222223</v>
      </c>
      <c r="I70" s="138">
        <v>0.89097222222222228</v>
      </c>
      <c r="J70" s="139">
        <v>9000</v>
      </c>
      <c r="K70" s="138">
        <v>0.14791666666666667</v>
      </c>
      <c r="L70" s="138">
        <v>0</v>
      </c>
      <c r="M70" s="138">
        <v>0.14791666666666667</v>
      </c>
      <c r="N70" s="140">
        <v>2342</v>
      </c>
      <c r="O70" s="140">
        <v>0</v>
      </c>
      <c r="P70" s="140">
        <v>2342</v>
      </c>
      <c r="Q70" s="140">
        <v>0</v>
      </c>
      <c r="R70" s="174">
        <v>2342</v>
      </c>
      <c r="S70" s="105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3"/>
    </row>
    <row r="71" spans="2:31" ht="16.5" thickTop="1" thickBot="1" x14ac:dyDescent="0.3">
      <c r="B71" s="147"/>
      <c r="C71" s="163"/>
      <c r="D71" s="163" t="s">
        <v>273</v>
      </c>
      <c r="E71" s="162" t="s">
        <v>402</v>
      </c>
      <c r="F71" s="188" t="s">
        <v>273</v>
      </c>
      <c r="G71" s="157">
        <v>0.1</v>
      </c>
      <c r="H71" s="138">
        <v>1.6819444444444445</v>
      </c>
      <c r="I71" s="138">
        <v>1.7819444444444446</v>
      </c>
      <c r="J71" s="139">
        <v>18000</v>
      </c>
      <c r="K71" s="138">
        <v>0</v>
      </c>
      <c r="L71" s="138">
        <v>0</v>
      </c>
      <c r="M71" s="138">
        <v>0</v>
      </c>
      <c r="N71" s="140">
        <v>0</v>
      </c>
      <c r="O71" s="140">
        <v>0</v>
      </c>
      <c r="P71" s="140">
        <v>0</v>
      </c>
      <c r="Q71" s="140">
        <v>0</v>
      </c>
      <c r="R71" s="174">
        <v>0</v>
      </c>
      <c r="S71" s="105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3"/>
    </row>
    <row r="72" spans="2:31" ht="16.5" thickTop="1" thickBot="1" x14ac:dyDescent="0.3">
      <c r="B72" s="147"/>
      <c r="C72" s="163"/>
      <c r="D72" s="163"/>
      <c r="E72" s="163" t="s">
        <v>274</v>
      </c>
      <c r="F72" s="189" t="s">
        <v>274</v>
      </c>
      <c r="G72" s="158">
        <v>0.05</v>
      </c>
      <c r="H72" s="141">
        <v>0.84097222222222223</v>
      </c>
      <c r="I72" s="141">
        <v>0.89097222222222228</v>
      </c>
      <c r="J72" s="142">
        <v>9000</v>
      </c>
      <c r="K72" s="141">
        <v>0</v>
      </c>
      <c r="L72" s="141">
        <v>0</v>
      </c>
      <c r="M72" s="141">
        <v>0</v>
      </c>
      <c r="N72" s="143">
        <v>0</v>
      </c>
      <c r="O72" s="143">
        <v>0</v>
      </c>
      <c r="P72" s="143">
        <v>0</v>
      </c>
      <c r="Q72" s="143">
        <v>0</v>
      </c>
      <c r="R72" s="175">
        <v>0</v>
      </c>
      <c r="S72" s="105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3"/>
    </row>
    <row r="73" spans="2:31" ht="16.5" thickTop="1" thickBot="1" x14ac:dyDescent="0.3">
      <c r="B73" s="147"/>
      <c r="C73" s="163"/>
      <c r="D73" s="163"/>
      <c r="E73" s="164" t="s">
        <v>277</v>
      </c>
      <c r="F73" s="189" t="s">
        <v>277</v>
      </c>
      <c r="G73" s="158">
        <v>0.05</v>
      </c>
      <c r="H73" s="141">
        <v>0.84097222222222223</v>
      </c>
      <c r="I73" s="141">
        <v>0.89097222222222228</v>
      </c>
      <c r="J73" s="142">
        <v>9000</v>
      </c>
      <c r="K73" s="141">
        <v>0</v>
      </c>
      <c r="L73" s="141">
        <v>0</v>
      </c>
      <c r="M73" s="141">
        <v>0</v>
      </c>
      <c r="N73" s="143">
        <v>0</v>
      </c>
      <c r="O73" s="143">
        <v>0</v>
      </c>
      <c r="P73" s="143">
        <v>0</v>
      </c>
      <c r="Q73" s="143">
        <v>0</v>
      </c>
      <c r="R73" s="175">
        <v>0</v>
      </c>
      <c r="S73" s="105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3"/>
    </row>
    <row r="74" spans="2:31" ht="16.5" thickTop="1" thickBot="1" x14ac:dyDescent="0.3">
      <c r="B74" s="147"/>
      <c r="C74" s="163"/>
      <c r="D74" s="163" t="s">
        <v>134</v>
      </c>
      <c r="E74" s="162" t="s">
        <v>402</v>
      </c>
      <c r="F74" s="188" t="s">
        <v>134</v>
      </c>
      <c r="G74" s="157">
        <v>0.05</v>
      </c>
      <c r="H74" s="138">
        <v>0.84097222222222223</v>
      </c>
      <c r="I74" s="138">
        <v>0.89097222222222228</v>
      </c>
      <c r="J74" s="139">
        <v>9000</v>
      </c>
      <c r="K74" s="138">
        <v>0</v>
      </c>
      <c r="L74" s="138">
        <v>0</v>
      </c>
      <c r="M74" s="138">
        <v>0</v>
      </c>
      <c r="N74" s="140">
        <v>0</v>
      </c>
      <c r="O74" s="140">
        <v>0</v>
      </c>
      <c r="P74" s="140">
        <v>0</v>
      </c>
      <c r="Q74" s="140">
        <v>0</v>
      </c>
      <c r="R74" s="174">
        <v>0</v>
      </c>
      <c r="S74" s="105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3"/>
    </row>
    <row r="75" spans="2:31" ht="16.5" thickTop="1" thickBot="1" x14ac:dyDescent="0.3">
      <c r="B75" s="147"/>
      <c r="C75" s="163"/>
      <c r="D75" s="164"/>
      <c r="E75" s="164" t="s">
        <v>134</v>
      </c>
      <c r="F75" s="188" t="s">
        <v>134</v>
      </c>
      <c r="G75" s="157">
        <v>0.05</v>
      </c>
      <c r="H75" s="138">
        <v>0.84097222222222223</v>
      </c>
      <c r="I75" s="138">
        <v>0.89097222222222228</v>
      </c>
      <c r="J75" s="139">
        <v>9000</v>
      </c>
      <c r="K75" s="138">
        <v>0</v>
      </c>
      <c r="L75" s="138">
        <v>0</v>
      </c>
      <c r="M75" s="138">
        <v>0</v>
      </c>
      <c r="N75" s="140">
        <v>0</v>
      </c>
      <c r="O75" s="140">
        <v>0</v>
      </c>
      <c r="P75" s="140">
        <v>0</v>
      </c>
      <c r="Q75" s="140">
        <v>0</v>
      </c>
      <c r="R75" s="174">
        <v>0</v>
      </c>
      <c r="S75" s="105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3"/>
    </row>
    <row r="76" spans="2:31" ht="16.5" thickTop="1" thickBot="1" x14ac:dyDescent="0.3">
      <c r="B76" s="147"/>
      <c r="C76" s="163" t="s">
        <v>163</v>
      </c>
      <c r="D76" s="165" t="s">
        <v>364</v>
      </c>
      <c r="E76" s="166" t="s">
        <v>364</v>
      </c>
      <c r="F76" s="187" t="s">
        <v>163</v>
      </c>
      <c r="G76" s="159">
        <v>0.5</v>
      </c>
      <c r="H76" s="144">
        <v>8.4097222222222214</v>
      </c>
      <c r="I76" s="144">
        <v>8.9097222222222214</v>
      </c>
      <c r="J76" s="145">
        <v>90000</v>
      </c>
      <c r="K76" s="144">
        <v>0.4777777777777778</v>
      </c>
      <c r="L76" s="144">
        <v>5.7638888888888892E-2</v>
      </c>
      <c r="M76" s="144">
        <v>0.53541666666666665</v>
      </c>
      <c r="N76" s="146">
        <v>7654</v>
      </c>
      <c r="O76" s="146">
        <v>2323</v>
      </c>
      <c r="P76" s="146">
        <v>9977</v>
      </c>
      <c r="Q76" s="146">
        <v>0</v>
      </c>
      <c r="R76" s="176">
        <v>9977</v>
      </c>
      <c r="S76" s="105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3"/>
    </row>
    <row r="77" spans="2:31" ht="16.5" thickTop="1" thickBot="1" x14ac:dyDescent="0.3">
      <c r="B77" s="147"/>
      <c r="C77" s="163"/>
      <c r="D77" s="163" t="s">
        <v>270</v>
      </c>
      <c r="E77" s="162" t="s">
        <v>402</v>
      </c>
      <c r="F77" s="188" t="s">
        <v>270</v>
      </c>
      <c r="G77" s="157">
        <v>0.1</v>
      </c>
      <c r="H77" s="138">
        <v>1.6819444444444445</v>
      </c>
      <c r="I77" s="138">
        <v>1.7819444444444446</v>
      </c>
      <c r="J77" s="139">
        <v>18000</v>
      </c>
      <c r="K77" s="138">
        <v>0.30277777777777776</v>
      </c>
      <c r="L77" s="138">
        <v>0</v>
      </c>
      <c r="M77" s="138">
        <v>0.30277777777777776</v>
      </c>
      <c r="N77" s="140">
        <v>4654</v>
      </c>
      <c r="O77" s="140">
        <v>0</v>
      </c>
      <c r="P77" s="140">
        <v>4654</v>
      </c>
      <c r="Q77" s="140">
        <v>0</v>
      </c>
      <c r="R77" s="174">
        <v>4654</v>
      </c>
      <c r="S77" s="105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3"/>
    </row>
    <row r="78" spans="2:31" ht="16.5" thickTop="1" thickBot="1" x14ac:dyDescent="0.3">
      <c r="B78" s="147"/>
      <c r="C78" s="163"/>
      <c r="D78" s="163"/>
      <c r="E78" s="163" t="s">
        <v>275</v>
      </c>
      <c r="F78" s="189" t="s">
        <v>275</v>
      </c>
      <c r="G78" s="158">
        <v>0.05</v>
      </c>
      <c r="H78" s="141">
        <v>0.84097222222222223</v>
      </c>
      <c r="I78" s="141">
        <v>0.89097222222222228</v>
      </c>
      <c r="J78" s="142">
        <v>9000</v>
      </c>
      <c r="K78" s="141">
        <v>0.16180555555555556</v>
      </c>
      <c r="L78" s="141">
        <v>0</v>
      </c>
      <c r="M78" s="141">
        <v>0.16180555555555556</v>
      </c>
      <c r="N78" s="143">
        <v>3422</v>
      </c>
      <c r="O78" s="143">
        <v>0</v>
      </c>
      <c r="P78" s="143">
        <v>3422</v>
      </c>
      <c r="Q78" s="143">
        <v>0</v>
      </c>
      <c r="R78" s="175">
        <v>3422</v>
      </c>
      <c r="S78" s="105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3"/>
    </row>
    <row r="79" spans="2:31" ht="16.5" thickTop="1" thickBot="1" x14ac:dyDescent="0.3">
      <c r="B79" s="147"/>
      <c r="C79" s="163"/>
      <c r="D79" s="163"/>
      <c r="E79" s="164" t="s">
        <v>278</v>
      </c>
      <c r="F79" s="189" t="s">
        <v>278</v>
      </c>
      <c r="G79" s="158">
        <v>0.05</v>
      </c>
      <c r="H79" s="141">
        <v>0.84097222222222223</v>
      </c>
      <c r="I79" s="141">
        <v>0.89097222222222228</v>
      </c>
      <c r="J79" s="142">
        <v>9000</v>
      </c>
      <c r="K79" s="141">
        <v>0.14097222222222222</v>
      </c>
      <c r="L79" s="141">
        <v>0</v>
      </c>
      <c r="M79" s="141">
        <v>0.14097222222222222</v>
      </c>
      <c r="N79" s="143">
        <v>1232</v>
      </c>
      <c r="O79" s="143">
        <v>0</v>
      </c>
      <c r="P79" s="143">
        <v>1232</v>
      </c>
      <c r="Q79" s="143">
        <v>0</v>
      </c>
      <c r="R79" s="175">
        <v>1232</v>
      </c>
      <c r="S79" s="105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3"/>
    </row>
    <row r="80" spans="2:31" ht="16.5" thickTop="1" thickBot="1" x14ac:dyDescent="0.3">
      <c r="B80" s="147"/>
      <c r="C80" s="163"/>
      <c r="D80" s="163" t="s">
        <v>269</v>
      </c>
      <c r="E80" s="162" t="s">
        <v>402</v>
      </c>
      <c r="F80" s="188" t="s">
        <v>269</v>
      </c>
      <c r="G80" s="157">
        <v>0.05</v>
      </c>
      <c r="H80" s="138">
        <v>0.84097222222222223</v>
      </c>
      <c r="I80" s="138">
        <v>0.89097222222222228</v>
      </c>
      <c r="J80" s="139">
        <v>9000</v>
      </c>
      <c r="K80" s="138">
        <v>0</v>
      </c>
      <c r="L80" s="138">
        <v>0</v>
      </c>
      <c r="M80" s="138">
        <v>0</v>
      </c>
      <c r="N80" s="140">
        <v>0</v>
      </c>
      <c r="O80" s="140">
        <v>0</v>
      </c>
      <c r="P80" s="140">
        <v>0</v>
      </c>
      <c r="Q80" s="140">
        <v>0</v>
      </c>
      <c r="R80" s="174">
        <v>0</v>
      </c>
      <c r="S80" s="105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3"/>
    </row>
    <row r="81" spans="2:31" ht="16.5" thickTop="1" thickBot="1" x14ac:dyDescent="0.3">
      <c r="B81" s="147"/>
      <c r="C81" s="163"/>
      <c r="D81" s="163"/>
      <c r="E81" s="164" t="s">
        <v>269</v>
      </c>
      <c r="F81" s="188" t="s">
        <v>269</v>
      </c>
      <c r="G81" s="157">
        <v>0.05</v>
      </c>
      <c r="H81" s="138">
        <v>0.84097222222222223</v>
      </c>
      <c r="I81" s="138">
        <v>0.89097222222222228</v>
      </c>
      <c r="J81" s="139">
        <v>9000</v>
      </c>
      <c r="K81" s="138">
        <v>0</v>
      </c>
      <c r="L81" s="138">
        <v>0</v>
      </c>
      <c r="M81" s="138">
        <v>0</v>
      </c>
      <c r="N81" s="140">
        <v>0</v>
      </c>
      <c r="O81" s="140">
        <v>0</v>
      </c>
      <c r="P81" s="140">
        <v>0</v>
      </c>
      <c r="Q81" s="140">
        <v>0</v>
      </c>
      <c r="R81" s="174">
        <v>0</v>
      </c>
      <c r="S81" s="105"/>
      <c r="T81" s="62"/>
      <c r="U81" s="62"/>
      <c r="V81" s="62"/>
      <c r="W81" s="62"/>
      <c r="X81" s="62"/>
      <c r="Y81" s="62"/>
      <c r="Z81" s="62"/>
      <c r="AA81" s="62"/>
      <c r="AB81" s="62"/>
      <c r="AC81" s="62"/>
      <c r="AD81" s="62"/>
      <c r="AE81" s="63"/>
    </row>
    <row r="82" spans="2:31" ht="16.5" thickTop="1" thickBot="1" x14ac:dyDescent="0.3">
      <c r="B82" s="147"/>
      <c r="C82" s="163"/>
      <c r="D82" s="163" t="s">
        <v>271</v>
      </c>
      <c r="E82" s="162" t="s">
        <v>402</v>
      </c>
      <c r="F82" s="188" t="s">
        <v>271</v>
      </c>
      <c r="G82" s="157">
        <v>0.05</v>
      </c>
      <c r="H82" s="138">
        <v>0.84097222222222223</v>
      </c>
      <c r="I82" s="138">
        <v>0.89097222222222228</v>
      </c>
      <c r="J82" s="139">
        <v>9000</v>
      </c>
      <c r="K82" s="138">
        <v>0</v>
      </c>
      <c r="L82" s="138">
        <v>0</v>
      </c>
      <c r="M82" s="138">
        <v>0</v>
      </c>
      <c r="N82" s="140">
        <v>0</v>
      </c>
      <c r="O82" s="140">
        <v>0</v>
      </c>
      <c r="P82" s="140">
        <v>0</v>
      </c>
      <c r="Q82" s="140">
        <v>0</v>
      </c>
      <c r="R82" s="174">
        <v>0</v>
      </c>
      <c r="S82" s="105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3"/>
    </row>
    <row r="83" spans="2:31" ht="16.5" thickTop="1" thickBot="1" x14ac:dyDescent="0.3">
      <c r="B83" s="147"/>
      <c r="C83" s="163"/>
      <c r="D83" s="163"/>
      <c r="E83" s="164" t="s">
        <v>271</v>
      </c>
      <c r="F83" s="188" t="s">
        <v>271</v>
      </c>
      <c r="G83" s="157">
        <v>0.05</v>
      </c>
      <c r="H83" s="138">
        <v>0.84097222222222223</v>
      </c>
      <c r="I83" s="138">
        <v>0.89097222222222228</v>
      </c>
      <c r="J83" s="139">
        <v>9000</v>
      </c>
      <c r="K83" s="138">
        <v>0</v>
      </c>
      <c r="L83" s="138">
        <v>0</v>
      </c>
      <c r="M83" s="138">
        <v>0</v>
      </c>
      <c r="N83" s="140">
        <v>0</v>
      </c>
      <c r="O83" s="140">
        <v>0</v>
      </c>
      <c r="P83" s="140">
        <v>0</v>
      </c>
      <c r="Q83" s="140">
        <v>0</v>
      </c>
      <c r="R83" s="174">
        <v>0</v>
      </c>
      <c r="S83" s="105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3"/>
    </row>
    <row r="84" spans="2:31" ht="16.5" thickTop="1" thickBot="1" x14ac:dyDescent="0.3">
      <c r="B84" s="147"/>
      <c r="C84" s="163"/>
      <c r="D84" s="163" t="s">
        <v>272</v>
      </c>
      <c r="E84" s="162" t="s">
        <v>402</v>
      </c>
      <c r="F84" s="188" t="s">
        <v>272</v>
      </c>
      <c r="G84" s="157">
        <v>0.05</v>
      </c>
      <c r="H84" s="138">
        <v>0.84097222222222223</v>
      </c>
      <c r="I84" s="138">
        <v>0.89097222222222228</v>
      </c>
      <c r="J84" s="139">
        <v>9000</v>
      </c>
      <c r="K84" s="138">
        <v>0</v>
      </c>
      <c r="L84" s="138">
        <v>0</v>
      </c>
      <c r="M84" s="138">
        <v>0</v>
      </c>
      <c r="N84" s="140">
        <v>0</v>
      </c>
      <c r="O84" s="140">
        <v>0</v>
      </c>
      <c r="P84" s="140">
        <v>0</v>
      </c>
      <c r="Q84" s="140">
        <v>0</v>
      </c>
      <c r="R84" s="174">
        <v>0</v>
      </c>
      <c r="S84" s="105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3"/>
    </row>
    <row r="85" spans="2:31" ht="16.5" thickTop="1" thickBot="1" x14ac:dyDescent="0.3">
      <c r="B85" s="147"/>
      <c r="C85" s="163"/>
      <c r="D85" s="163"/>
      <c r="E85" s="164" t="s">
        <v>272</v>
      </c>
      <c r="F85" s="188" t="s">
        <v>272</v>
      </c>
      <c r="G85" s="157">
        <v>0.05</v>
      </c>
      <c r="H85" s="138">
        <v>0.84097222222222223</v>
      </c>
      <c r="I85" s="138">
        <v>0.89097222222222228</v>
      </c>
      <c r="J85" s="139">
        <v>9000</v>
      </c>
      <c r="K85" s="138">
        <v>0</v>
      </c>
      <c r="L85" s="138">
        <v>0</v>
      </c>
      <c r="M85" s="138">
        <v>0</v>
      </c>
      <c r="N85" s="140">
        <v>0</v>
      </c>
      <c r="O85" s="140">
        <v>0</v>
      </c>
      <c r="P85" s="140">
        <v>0</v>
      </c>
      <c r="Q85" s="140">
        <v>0</v>
      </c>
      <c r="R85" s="174">
        <v>0</v>
      </c>
      <c r="S85" s="105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3"/>
    </row>
    <row r="86" spans="2:31" ht="16.5" thickTop="1" thickBot="1" x14ac:dyDescent="0.3">
      <c r="B86" s="147"/>
      <c r="C86" s="163"/>
      <c r="D86" s="163" t="s">
        <v>267</v>
      </c>
      <c r="E86" s="162" t="s">
        <v>402</v>
      </c>
      <c r="F86" s="189" t="s">
        <v>267</v>
      </c>
      <c r="G86" s="158">
        <v>0.1</v>
      </c>
      <c r="H86" s="141">
        <v>1.6819444444444445</v>
      </c>
      <c r="I86" s="141">
        <v>1.7819444444444446</v>
      </c>
      <c r="J86" s="142">
        <v>18000</v>
      </c>
      <c r="K86" s="141">
        <v>0.17499999999999999</v>
      </c>
      <c r="L86" s="141">
        <v>5.7638888888888892E-2</v>
      </c>
      <c r="M86" s="141">
        <v>0.2326388888888889</v>
      </c>
      <c r="N86" s="143">
        <v>3000</v>
      </c>
      <c r="O86" s="143">
        <v>2323</v>
      </c>
      <c r="P86" s="143">
        <v>5323</v>
      </c>
      <c r="Q86" s="143">
        <v>0</v>
      </c>
      <c r="R86" s="175">
        <v>5323</v>
      </c>
      <c r="S86" s="105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3"/>
    </row>
    <row r="87" spans="2:31" ht="16.5" thickTop="1" thickBot="1" x14ac:dyDescent="0.3">
      <c r="B87" s="147"/>
      <c r="C87" s="163"/>
      <c r="D87" s="163"/>
      <c r="E87" s="164" t="s">
        <v>268</v>
      </c>
      <c r="F87" s="188" t="s">
        <v>268</v>
      </c>
      <c r="G87" s="157">
        <v>0.1</v>
      </c>
      <c r="H87" s="138">
        <v>1.6819444444444445</v>
      </c>
      <c r="I87" s="138">
        <v>1.7819444444444446</v>
      </c>
      <c r="J87" s="139">
        <v>18000</v>
      </c>
      <c r="K87" s="138">
        <v>0.17499999999999999</v>
      </c>
      <c r="L87" s="138">
        <v>5.7638888888888892E-2</v>
      </c>
      <c r="M87" s="138">
        <v>0.2326388888888889</v>
      </c>
      <c r="N87" s="140">
        <v>3000</v>
      </c>
      <c r="O87" s="140">
        <v>2323</v>
      </c>
      <c r="P87" s="140">
        <v>5323</v>
      </c>
      <c r="Q87" s="140">
        <v>0</v>
      </c>
      <c r="R87" s="174">
        <v>5323</v>
      </c>
      <c r="S87" s="105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3"/>
    </row>
    <row r="88" spans="2:31" ht="16.5" thickTop="1" thickBot="1" x14ac:dyDescent="0.3">
      <c r="B88" s="147"/>
      <c r="C88" s="163"/>
      <c r="D88" s="163" t="s">
        <v>273</v>
      </c>
      <c r="E88" s="162" t="s">
        <v>402</v>
      </c>
      <c r="F88" s="188" t="s">
        <v>273</v>
      </c>
      <c r="G88" s="157">
        <v>0.1</v>
      </c>
      <c r="H88" s="138">
        <v>1.6819444444444445</v>
      </c>
      <c r="I88" s="138">
        <v>1.7819444444444446</v>
      </c>
      <c r="J88" s="139">
        <v>18000</v>
      </c>
      <c r="K88" s="138">
        <v>0</v>
      </c>
      <c r="L88" s="138">
        <v>0</v>
      </c>
      <c r="M88" s="138">
        <v>0</v>
      </c>
      <c r="N88" s="140">
        <v>0</v>
      </c>
      <c r="O88" s="140">
        <v>0</v>
      </c>
      <c r="P88" s="140">
        <v>0</v>
      </c>
      <c r="Q88" s="140">
        <v>0</v>
      </c>
      <c r="R88" s="174">
        <v>0</v>
      </c>
      <c r="S88" s="105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3"/>
    </row>
    <row r="89" spans="2:31" ht="16.5" thickTop="1" thickBot="1" x14ac:dyDescent="0.3">
      <c r="B89" s="147"/>
      <c r="C89" s="163"/>
      <c r="D89" s="163"/>
      <c r="E89" s="163" t="s">
        <v>274</v>
      </c>
      <c r="F89" s="189" t="s">
        <v>274</v>
      </c>
      <c r="G89" s="158">
        <v>0.05</v>
      </c>
      <c r="H89" s="141">
        <v>0.84097222222222223</v>
      </c>
      <c r="I89" s="141">
        <v>0.89097222222222228</v>
      </c>
      <c r="J89" s="142">
        <v>9000</v>
      </c>
      <c r="K89" s="141">
        <v>0</v>
      </c>
      <c r="L89" s="141">
        <v>0</v>
      </c>
      <c r="M89" s="141">
        <v>0</v>
      </c>
      <c r="N89" s="143">
        <v>0</v>
      </c>
      <c r="O89" s="143">
        <v>0</v>
      </c>
      <c r="P89" s="143">
        <v>0</v>
      </c>
      <c r="Q89" s="143">
        <v>0</v>
      </c>
      <c r="R89" s="175">
        <v>0</v>
      </c>
      <c r="S89" s="105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3"/>
    </row>
    <row r="90" spans="2:31" ht="16.5" thickTop="1" thickBot="1" x14ac:dyDescent="0.3">
      <c r="B90" s="147"/>
      <c r="C90" s="163"/>
      <c r="D90" s="163"/>
      <c r="E90" s="164" t="s">
        <v>277</v>
      </c>
      <c r="F90" s="189" t="s">
        <v>277</v>
      </c>
      <c r="G90" s="158">
        <v>0.05</v>
      </c>
      <c r="H90" s="141">
        <v>0.84097222222222223</v>
      </c>
      <c r="I90" s="141">
        <v>0.89097222222222228</v>
      </c>
      <c r="J90" s="142">
        <v>9000</v>
      </c>
      <c r="K90" s="141">
        <v>0</v>
      </c>
      <c r="L90" s="141">
        <v>0</v>
      </c>
      <c r="M90" s="141">
        <v>0</v>
      </c>
      <c r="N90" s="143">
        <v>0</v>
      </c>
      <c r="O90" s="143">
        <v>0</v>
      </c>
      <c r="P90" s="143">
        <v>0</v>
      </c>
      <c r="Q90" s="143">
        <v>0</v>
      </c>
      <c r="R90" s="175">
        <v>0</v>
      </c>
      <c r="S90" s="105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3"/>
    </row>
    <row r="91" spans="2:31" ht="16.5" thickTop="1" thickBot="1" x14ac:dyDescent="0.3">
      <c r="B91" s="147"/>
      <c r="C91" s="163"/>
      <c r="D91" s="163" t="s">
        <v>134</v>
      </c>
      <c r="E91" s="162" t="s">
        <v>402</v>
      </c>
      <c r="F91" s="188" t="s">
        <v>134</v>
      </c>
      <c r="G91" s="157">
        <v>0.05</v>
      </c>
      <c r="H91" s="138">
        <v>0.84097222222222223</v>
      </c>
      <c r="I91" s="138">
        <v>0.89097222222222228</v>
      </c>
      <c r="J91" s="139">
        <v>9000</v>
      </c>
      <c r="K91" s="138">
        <v>0</v>
      </c>
      <c r="L91" s="138">
        <v>0</v>
      </c>
      <c r="M91" s="138">
        <v>0</v>
      </c>
      <c r="N91" s="140">
        <v>0</v>
      </c>
      <c r="O91" s="140">
        <v>0</v>
      </c>
      <c r="P91" s="140">
        <v>0</v>
      </c>
      <c r="Q91" s="140">
        <v>0</v>
      </c>
      <c r="R91" s="174">
        <v>0</v>
      </c>
      <c r="S91" s="105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3"/>
    </row>
    <row r="92" spans="2:31" ht="16.5" thickTop="1" thickBot="1" x14ac:dyDescent="0.3">
      <c r="B92" s="147"/>
      <c r="C92" s="163"/>
      <c r="D92" s="164"/>
      <c r="E92" s="164" t="s">
        <v>134</v>
      </c>
      <c r="F92" s="188" t="s">
        <v>134</v>
      </c>
      <c r="G92" s="157">
        <v>0.05</v>
      </c>
      <c r="H92" s="138">
        <v>0.84097222222222223</v>
      </c>
      <c r="I92" s="138">
        <v>0.89097222222222228</v>
      </c>
      <c r="J92" s="139">
        <v>9000</v>
      </c>
      <c r="K92" s="138">
        <v>0</v>
      </c>
      <c r="L92" s="138">
        <v>0</v>
      </c>
      <c r="M92" s="138">
        <v>0</v>
      </c>
      <c r="N92" s="140">
        <v>0</v>
      </c>
      <c r="O92" s="140">
        <v>0</v>
      </c>
      <c r="P92" s="140">
        <v>0</v>
      </c>
      <c r="Q92" s="140">
        <v>0</v>
      </c>
      <c r="R92" s="174">
        <v>0</v>
      </c>
      <c r="S92" s="105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3"/>
    </row>
    <row r="93" spans="2:31" ht="16.5" thickTop="1" thickBot="1" x14ac:dyDescent="0.3">
      <c r="B93" s="147"/>
      <c r="C93" s="163" t="s">
        <v>167</v>
      </c>
      <c r="D93" s="165" t="s">
        <v>364</v>
      </c>
      <c r="E93" s="166" t="s">
        <v>364</v>
      </c>
      <c r="F93" s="187" t="s">
        <v>167</v>
      </c>
      <c r="G93" s="159">
        <v>0.45</v>
      </c>
      <c r="H93" s="144">
        <v>7.5687499999999996</v>
      </c>
      <c r="I93" s="144">
        <v>8.0187500000000007</v>
      </c>
      <c r="J93" s="145">
        <v>81000</v>
      </c>
      <c r="K93" s="144">
        <v>0</v>
      </c>
      <c r="L93" s="144">
        <v>0</v>
      </c>
      <c r="M93" s="144">
        <v>0</v>
      </c>
      <c r="N93" s="146">
        <v>0</v>
      </c>
      <c r="O93" s="146">
        <v>0</v>
      </c>
      <c r="P93" s="146">
        <v>0</v>
      </c>
      <c r="Q93" s="146">
        <v>0</v>
      </c>
      <c r="R93" s="176">
        <v>0</v>
      </c>
      <c r="S93" s="105"/>
      <c r="T93" s="62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3"/>
    </row>
    <row r="94" spans="2:31" ht="16.5" thickTop="1" thickBot="1" x14ac:dyDescent="0.3">
      <c r="B94" s="147"/>
      <c r="C94" s="163"/>
      <c r="D94" s="163" t="s">
        <v>270</v>
      </c>
      <c r="E94" s="162" t="s">
        <v>402</v>
      </c>
      <c r="F94" s="188" t="s">
        <v>270</v>
      </c>
      <c r="G94" s="157">
        <v>0.1</v>
      </c>
      <c r="H94" s="138">
        <v>1.6819444444444445</v>
      </c>
      <c r="I94" s="138">
        <v>1.7819444444444446</v>
      </c>
      <c r="J94" s="139">
        <v>18000</v>
      </c>
      <c r="K94" s="138">
        <v>0</v>
      </c>
      <c r="L94" s="138">
        <v>0</v>
      </c>
      <c r="M94" s="138">
        <v>0</v>
      </c>
      <c r="N94" s="140">
        <v>0</v>
      </c>
      <c r="O94" s="140">
        <v>0</v>
      </c>
      <c r="P94" s="140">
        <v>0</v>
      </c>
      <c r="Q94" s="140">
        <v>0</v>
      </c>
      <c r="R94" s="174">
        <v>0</v>
      </c>
      <c r="S94" s="105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3"/>
    </row>
    <row r="95" spans="2:31" ht="16.5" thickTop="1" thickBot="1" x14ac:dyDescent="0.3">
      <c r="B95" s="147"/>
      <c r="C95" s="163"/>
      <c r="D95" s="163"/>
      <c r="E95" s="163" t="s">
        <v>275</v>
      </c>
      <c r="F95" s="189" t="s">
        <v>275</v>
      </c>
      <c r="G95" s="158">
        <v>0.05</v>
      </c>
      <c r="H95" s="141">
        <v>0.84097222222222223</v>
      </c>
      <c r="I95" s="141">
        <v>0.89097222222222228</v>
      </c>
      <c r="J95" s="142">
        <v>9000</v>
      </c>
      <c r="K95" s="141">
        <v>0</v>
      </c>
      <c r="L95" s="141">
        <v>0</v>
      </c>
      <c r="M95" s="141">
        <v>0</v>
      </c>
      <c r="N95" s="143">
        <v>0</v>
      </c>
      <c r="O95" s="143">
        <v>0</v>
      </c>
      <c r="P95" s="143">
        <v>0</v>
      </c>
      <c r="Q95" s="143">
        <v>0</v>
      </c>
      <c r="R95" s="175">
        <v>0</v>
      </c>
      <c r="S95" s="105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3"/>
    </row>
    <row r="96" spans="2:31" ht="16.5" thickTop="1" thickBot="1" x14ac:dyDescent="0.3">
      <c r="B96" s="147"/>
      <c r="C96" s="163"/>
      <c r="D96" s="163"/>
      <c r="E96" s="164" t="s">
        <v>278</v>
      </c>
      <c r="F96" s="189" t="s">
        <v>278</v>
      </c>
      <c r="G96" s="158">
        <v>0.05</v>
      </c>
      <c r="H96" s="141">
        <v>0.84097222222222223</v>
      </c>
      <c r="I96" s="141">
        <v>0.89097222222222228</v>
      </c>
      <c r="J96" s="142">
        <v>9000</v>
      </c>
      <c r="K96" s="141">
        <v>0</v>
      </c>
      <c r="L96" s="141">
        <v>0</v>
      </c>
      <c r="M96" s="141">
        <v>0</v>
      </c>
      <c r="N96" s="143">
        <v>0</v>
      </c>
      <c r="O96" s="143">
        <v>0</v>
      </c>
      <c r="P96" s="143">
        <v>0</v>
      </c>
      <c r="Q96" s="143">
        <v>0</v>
      </c>
      <c r="R96" s="175">
        <v>0</v>
      </c>
      <c r="S96" s="105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3"/>
    </row>
    <row r="97" spans="2:31" ht="16.5" thickTop="1" thickBot="1" x14ac:dyDescent="0.3">
      <c r="B97" s="147"/>
      <c r="C97" s="163"/>
      <c r="D97" s="163" t="s">
        <v>269</v>
      </c>
      <c r="E97" s="162" t="s">
        <v>402</v>
      </c>
      <c r="F97" s="188" t="s">
        <v>269</v>
      </c>
      <c r="G97" s="157">
        <v>0.05</v>
      </c>
      <c r="H97" s="138">
        <v>0.84097222222222223</v>
      </c>
      <c r="I97" s="138">
        <v>0.89097222222222228</v>
      </c>
      <c r="J97" s="139">
        <v>9000</v>
      </c>
      <c r="K97" s="138">
        <v>0</v>
      </c>
      <c r="L97" s="138">
        <v>0</v>
      </c>
      <c r="M97" s="138">
        <v>0</v>
      </c>
      <c r="N97" s="140">
        <v>0</v>
      </c>
      <c r="O97" s="140">
        <v>0</v>
      </c>
      <c r="P97" s="140">
        <v>0</v>
      </c>
      <c r="Q97" s="140">
        <v>0</v>
      </c>
      <c r="R97" s="174">
        <v>0</v>
      </c>
      <c r="S97" s="105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3"/>
    </row>
    <row r="98" spans="2:31" ht="16.5" thickTop="1" thickBot="1" x14ac:dyDescent="0.3">
      <c r="B98" s="147"/>
      <c r="C98" s="163"/>
      <c r="D98" s="163"/>
      <c r="E98" s="164" t="s">
        <v>269</v>
      </c>
      <c r="F98" s="188" t="s">
        <v>269</v>
      </c>
      <c r="G98" s="157">
        <v>0.05</v>
      </c>
      <c r="H98" s="138">
        <v>0.84097222222222223</v>
      </c>
      <c r="I98" s="138">
        <v>0.89097222222222228</v>
      </c>
      <c r="J98" s="139">
        <v>9000</v>
      </c>
      <c r="K98" s="138">
        <v>0</v>
      </c>
      <c r="L98" s="138">
        <v>0</v>
      </c>
      <c r="M98" s="138">
        <v>0</v>
      </c>
      <c r="N98" s="140">
        <v>0</v>
      </c>
      <c r="O98" s="140">
        <v>0</v>
      </c>
      <c r="P98" s="140">
        <v>0</v>
      </c>
      <c r="Q98" s="140">
        <v>0</v>
      </c>
      <c r="R98" s="174">
        <v>0</v>
      </c>
      <c r="S98" s="105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3"/>
    </row>
    <row r="99" spans="2:31" ht="16.5" thickTop="1" thickBot="1" x14ac:dyDescent="0.3">
      <c r="B99" s="147"/>
      <c r="C99" s="163"/>
      <c r="D99" s="163" t="s">
        <v>271</v>
      </c>
      <c r="E99" s="162" t="s">
        <v>402</v>
      </c>
      <c r="F99" s="188" t="s">
        <v>271</v>
      </c>
      <c r="G99" s="157">
        <v>0.05</v>
      </c>
      <c r="H99" s="138">
        <v>0.84097222222222223</v>
      </c>
      <c r="I99" s="138">
        <v>0.89097222222222228</v>
      </c>
      <c r="J99" s="139">
        <v>9000</v>
      </c>
      <c r="K99" s="138">
        <v>0</v>
      </c>
      <c r="L99" s="138">
        <v>0</v>
      </c>
      <c r="M99" s="138">
        <v>0</v>
      </c>
      <c r="N99" s="140">
        <v>0</v>
      </c>
      <c r="O99" s="140">
        <v>0</v>
      </c>
      <c r="P99" s="140">
        <v>0</v>
      </c>
      <c r="Q99" s="140">
        <v>0</v>
      </c>
      <c r="R99" s="174">
        <v>0</v>
      </c>
      <c r="S99" s="105"/>
      <c r="T99" s="62"/>
      <c r="U99" s="62"/>
      <c r="V99" s="62"/>
      <c r="W99" s="62"/>
      <c r="X99" s="62"/>
      <c r="Y99" s="62"/>
      <c r="Z99" s="62"/>
      <c r="AA99" s="62"/>
      <c r="AB99" s="62"/>
      <c r="AC99" s="62"/>
      <c r="AD99" s="62"/>
      <c r="AE99" s="63"/>
    </row>
    <row r="100" spans="2:31" ht="16.5" thickTop="1" thickBot="1" x14ac:dyDescent="0.3">
      <c r="B100" s="147"/>
      <c r="C100" s="163"/>
      <c r="D100" s="163"/>
      <c r="E100" s="164" t="s">
        <v>271</v>
      </c>
      <c r="F100" s="188" t="s">
        <v>271</v>
      </c>
      <c r="G100" s="157">
        <v>0.05</v>
      </c>
      <c r="H100" s="138">
        <v>0.84097222222222223</v>
      </c>
      <c r="I100" s="138">
        <v>0.89097222222222228</v>
      </c>
      <c r="J100" s="139">
        <v>9000</v>
      </c>
      <c r="K100" s="138">
        <v>0</v>
      </c>
      <c r="L100" s="138">
        <v>0</v>
      </c>
      <c r="M100" s="138">
        <v>0</v>
      </c>
      <c r="N100" s="140">
        <v>0</v>
      </c>
      <c r="O100" s="140">
        <v>0</v>
      </c>
      <c r="P100" s="140">
        <v>0</v>
      </c>
      <c r="Q100" s="140">
        <v>0</v>
      </c>
      <c r="R100" s="174">
        <v>0</v>
      </c>
      <c r="S100" s="105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3"/>
    </row>
    <row r="101" spans="2:31" ht="16.5" thickTop="1" thickBot="1" x14ac:dyDescent="0.3">
      <c r="B101" s="147"/>
      <c r="C101" s="163"/>
      <c r="D101" s="163" t="s">
        <v>272</v>
      </c>
      <c r="E101" s="162" t="s">
        <v>402</v>
      </c>
      <c r="F101" s="188" t="s">
        <v>272</v>
      </c>
      <c r="G101" s="157">
        <v>0.05</v>
      </c>
      <c r="H101" s="138">
        <v>0.84097222222222223</v>
      </c>
      <c r="I101" s="138">
        <v>0.89097222222222228</v>
      </c>
      <c r="J101" s="139">
        <v>9000</v>
      </c>
      <c r="K101" s="138">
        <v>0</v>
      </c>
      <c r="L101" s="138">
        <v>0</v>
      </c>
      <c r="M101" s="138">
        <v>0</v>
      </c>
      <c r="N101" s="140">
        <v>0</v>
      </c>
      <c r="O101" s="140">
        <v>0</v>
      </c>
      <c r="P101" s="140">
        <v>0</v>
      </c>
      <c r="Q101" s="140">
        <v>0</v>
      </c>
      <c r="R101" s="174">
        <v>0</v>
      </c>
      <c r="S101" s="105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3"/>
    </row>
    <row r="102" spans="2:31" ht="16.5" thickTop="1" thickBot="1" x14ac:dyDescent="0.3">
      <c r="B102" s="147"/>
      <c r="C102" s="163"/>
      <c r="D102" s="163"/>
      <c r="E102" s="164" t="s">
        <v>272</v>
      </c>
      <c r="F102" s="188" t="s">
        <v>272</v>
      </c>
      <c r="G102" s="157">
        <v>0.05</v>
      </c>
      <c r="H102" s="138">
        <v>0.84097222222222223</v>
      </c>
      <c r="I102" s="138">
        <v>0.89097222222222228</v>
      </c>
      <c r="J102" s="139">
        <v>9000</v>
      </c>
      <c r="K102" s="138">
        <v>0</v>
      </c>
      <c r="L102" s="138">
        <v>0</v>
      </c>
      <c r="M102" s="138">
        <v>0</v>
      </c>
      <c r="N102" s="140">
        <v>0</v>
      </c>
      <c r="O102" s="140">
        <v>0</v>
      </c>
      <c r="P102" s="140">
        <v>0</v>
      </c>
      <c r="Q102" s="140">
        <v>0</v>
      </c>
      <c r="R102" s="174">
        <v>0</v>
      </c>
      <c r="S102" s="105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3"/>
    </row>
    <row r="103" spans="2:31" ht="16.5" thickTop="1" thickBot="1" x14ac:dyDescent="0.3">
      <c r="B103" s="147"/>
      <c r="C103" s="163"/>
      <c r="D103" s="163" t="s">
        <v>267</v>
      </c>
      <c r="E103" s="162" t="s">
        <v>402</v>
      </c>
      <c r="F103" s="189" t="s">
        <v>267</v>
      </c>
      <c r="G103" s="158">
        <v>0.05</v>
      </c>
      <c r="H103" s="141">
        <v>0.84097222222222223</v>
      </c>
      <c r="I103" s="141">
        <v>0.89097222222222228</v>
      </c>
      <c r="J103" s="142">
        <v>9000</v>
      </c>
      <c r="K103" s="141">
        <v>0</v>
      </c>
      <c r="L103" s="141">
        <v>0</v>
      </c>
      <c r="M103" s="141">
        <v>0</v>
      </c>
      <c r="N103" s="143">
        <v>0</v>
      </c>
      <c r="O103" s="143">
        <v>0</v>
      </c>
      <c r="P103" s="143">
        <v>0</v>
      </c>
      <c r="Q103" s="143">
        <v>0</v>
      </c>
      <c r="R103" s="175">
        <v>0</v>
      </c>
      <c r="S103" s="105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3"/>
    </row>
    <row r="104" spans="2:31" ht="16.5" thickTop="1" thickBot="1" x14ac:dyDescent="0.3">
      <c r="B104" s="147"/>
      <c r="C104" s="163"/>
      <c r="D104" s="163"/>
      <c r="E104" s="164" t="s">
        <v>268</v>
      </c>
      <c r="F104" s="188" t="s">
        <v>268</v>
      </c>
      <c r="G104" s="157">
        <v>0.05</v>
      </c>
      <c r="H104" s="138">
        <v>0.84097222222222223</v>
      </c>
      <c r="I104" s="138">
        <v>0.89097222222222228</v>
      </c>
      <c r="J104" s="139">
        <v>9000</v>
      </c>
      <c r="K104" s="138">
        <v>0</v>
      </c>
      <c r="L104" s="138">
        <v>0</v>
      </c>
      <c r="M104" s="138">
        <v>0</v>
      </c>
      <c r="N104" s="140">
        <v>0</v>
      </c>
      <c r="O104" s="140">
        <v>0</v>
      </c>
      <c r="P104" s="140">
        <v>0</v>
      </c>
      <c r="Q104" s="140">
        <v>0</v>
      </c>
      <c r="R104" s="174">
        <v>0</v>
      </c>
      <c r="S104" s="105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3"/>
    </row>
    <row r="105" spans="2:31" ht="16.5" thickTop="1" thickBot="1" x14ac:dyDescent="0.3">
      <c r="B105" s="147"/>
      <c r="C105" s="163"/>
      <c r="D105" s="163" t="s">
        <v>273</v>
      </c>
      <c r="E105" s="162" t="s">
        <v>402</v>
      </c>
      <c r="F105" s="188" t="s">
        <v>273</v>
      </c>
      <c r="G105" s="157">
        <v>0.1</v>
      </c>
      <c r="H105" s="138">
        <v>1.6819444444444445</v>
      </c>
      <c r="I105" s="138">
        <v>1.7819444444444446</v>
      </c>
      <c r="J105" s="139">
        <v>18000</v>
      </c>
      <c r="K105" s="138">
        <v>0</v>
      </c>
      <c r="L105" s="138">
        <v>0</v>
      </c>
      <c r="M105" s="138">
        <v>0</v>
      </c>
      <c r="N105" s="140">
        <v>0</v>
      </c>
      <c r="O105" s="140">
        <v>0</v>
      </c>
      <c r="P105" s="140">
        <v>0</v>
      </c>
      <c r="Q105" s="140">
        <v>0</v>
      </c>
      <c r="R105" s="174">
        <v>0</v>
      </c>
      <c r="S105" s="105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3"/>
    </row>
    <row r="106" spans="2:31" ht="16.5" thickTop="1" thickBot="1" x14ac:dyDescent="0.3">
      <c r="B106" s="147"/>
      <c r="C106" s="163"/>
      <c r="D106" s="163"/>
      <c r="E106" s="163" t="s">
        <v>274</v>
      </c>
      <c r="F106" s="189" t="s">
        <v>274</v>
      </c>
      <c r="G106" s="158">
        <v>0.05</v>
      </c>
      <c r="H106" s="141">
        <v>0.84097222222222223</v>
      </c>
      <c r="I106" s="141">
        <v>0.89097222222222228</v>
      </c>
      <c r="J106" s="142">
        <v>9000</v>
      </c>
      <c r="K106" s="141">
        <v>0</v>
      </c>
      <c r="L106" s="141">
        <v>0</v>
      </c>
      <c r="M106" s="141">
        <v>0</v>
      </c>
      <c r="N106" s="143">
        <v>0</v>
      </c>
      <c r="O106" s="143">
        <v>0</v>
      </c>
      <c r="P106" s="143">
        <v>0</v>
      </c>
      <c r="Q106" s="143">
        <v>0</v>
      </c>
      <c r="R106" s="175">
        <v>0</v>
      </c>
      <c r="S106" s="105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3"/>
    </row>
    <row r="107" spans="2:31" ht="16.5" thickTop="1" thickBot="1" x14ac:dyDescent="0.3">
      <c r="B107" s="147"/>
      <c r="C107" s="163"/>
      <c r="D107" s="163"/>
      <c r="E107" s="164" t="s">
        <v>277</v>
      </c>
      <c r="F107" s="189" t="s">
        <v>277</v>
      </c>
      <c r="G107" s="158">
        <v>0.05</v>
      </c>
      <c r="H107" s="141">
        <v>0.84097222222222223</v>
      </c>
      <c r="I107" s="141">
        <v>0.89097222222222228</v>
      </c>
      <c r="J107" s="142">
        <v>9000</v>
      </c>
      <c r="K107" s="141">
        <v>0</v>
      </c>
      <c r="L107" s="141">
        <v>0</v>
      </c>
      <c r="M107" s="141">
        <v>0</v>
      </c>
      <c r="N107" s="143">
        <v>0</v>
      </c>
      <c r="O107" s="143">
        <v>0</v>
      </c>
      <c r="P107" s="143">
        <v>0</v>
      </c>
      <c r="Q107" s="143">
        <v>0</v>
      </c>
      <c r="R107" s="175">
        <v>0</v>
      </c>
      <c r="S107" s="105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3"/>
    </row>
    <row r="108" spans="2:31" ht="16.5" thickTop="1" thickBot="1" x14ac:dyDescent="0.3">
      <c r="B108" s="147"/>
      <c r="C108" s="163"/>
      <c r="D108" s="163" t="s">
        <v>134</v>
      </c>
      <c r="E108" s="162" t="s">
        <v>402</v>
      </c>
      <c r="F108" s="188" t="s">
        <v>134</v>
      </c>
      <c r="G108" s="157">
        <v>0.05</v>
      </c>
      <c r="H108" s="138">
        <v>0.84097222222222223</v>
      </c>
      <c r="I108" s="138">
        <v>0.89097222222222228</v>
      </c>
      <c r="J108" s="139">
        <v>9000</v>
      </c>
      <c r="K108" s="138">
        <v>0</v>
      </c>
      <c r="L108" s="138">
        <v>0</v>
      </c>
      <c r="M108" s="138">
        <v>0</v>
      </c>
      <c r="N108" s="140">
        <v>0</v>
      </c>
      <c r="O108" s="140">
        <v>0</v>
      </c>
      <c r="P108" s="140">
        <v>0</v>
      </c>
      <c r="Q108" s="140">
        <v>0</v>
      </c>
      <c r="R108" s="174">
        <v>0</v>
      </c>
      <c r="S108" s="105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3"/>
    </row>
    <row r="109" spans="2:31" ht="16.5" thickTop="1" thickBot="1" x14ac:dyDescent="0.3">
      <c r="B109" s="147"/>
      <c r="C109" s="163"/>
      <c r="D109" s="164"/>
      <c r="E109" s="164" t="s">
        <v>134</v>
      </c>
      <c r="F109" s="188" t="s">
        <v>134</v>
      </c>
      <c r="G109" s="157">
        <v>0.05</v>
      </c>
      <c r="H109" s="138">
        <v>0.84097222222222223</v>
      </c>
      <c r="I109" s="138">
        <v>0.89097222222222228</v>
      </c>
      <c r="J109" s="139">
        <v>9000</v>
      </c>
      <c r="K109" s="138">
        <v>0</v>
      </c>
      <c r="L109" s="138">
        <v>0</v>
      </c>
      <c r="M109" s="138">
        <v>0</v>
      </c>
      <c r="N109" s="140">
        <v>0</v>
      </c>
      <c r="O109" s="140">
        <v>0</v>
      </c>
      <c r="P109" s="140">
        <v>0</v>
      </c>
      <c r="Q109" s="140">
        <v>0</v>
      </c>
      <c r="R109" s="174">
        <v>0</v>
      </c>
      <c r="S109" s="105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63"/>
    </row>
    <row r="110" spans="2:31" ht="16.5" thickTop="1" thickBot="1" x14ac:dyDescent="0.3">
      <c r="B110" s="147"/>
      <c r="C110" s="163" t="s">
        <v>169</v>
      </c>
      <c r="D110" s="165" t="s">
        <v>364</v>
      </c>
      <c r="E110" s="166" t="s">
        <v>364</v>
      </c>
      <c r="F110" s="187" t="s">
        <v>169</v>
      </c>
      <c r="G110" s="159">
        <v>0.6</v>
      </c>
      <c r="H110" s="144">
        <v>10.091666666666667</v>
      </c>
      <c r="I110" s="144">
        <v>10.691666666666666</v>
      </c>
      <c r="J110" s="145">
        <v>108000</v>
      </c>
      <c r="K110" s="144">
        <v>0.22083333333333333</v>
      </c>
      <c r="L110" s="144">
        <v>0.12916666666666668</v>
      </c>
      <c r="M110" s="144">
        <v>0.35</v>
      </c>
      <c r="N110" s="146">
        <v>8342</v>
      </c>
      <c r="O110" s="146">
        <v>2421</v>
      </c>
      <c r="P110" s="146">
        <v>10763</v>
      </c>
      <c r="Q110" s="146">
        <v>0</v>
      </c>
      <c r="R110" s="176">
        <v>10763</v>
      </c>
      <c r="S110" s="105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3"/>
    </row>
    <row r="111" spans="2:31" ht="16.5" thickTop="1" thickBot="1" x14ac:dyDescent="0.3">
      <c r="B111" s="147"/>
      <c r="C111" s="163"/>
      <c r="D111" s="163" t="s">
        <v>270</v>
      </c>
      <c r="E111" s="162" t="s">
        <v>402</v>
      </c>
      <c r="F111" s="188" t="s">
        <v>270</v>
      </c>
      <c r="G111" s="157">
        <v>0.1</v>
      </c>
      <c r="H111" s="138">
        <v>1.6819444444444445</v>
      </c>
      <c r="I111" s="138">
        <v>1.7819444444444446</v>
      </c>
      <c r="J111" s="139">
        <v>18000</v>
      </c>
      <c r="K111" s="138">
        <v>0</v>
      </c>
      <c r="L111" s="138">
        <v>0</v>
      </c>
      <c r="M111" s="138">
        <v>0</v>
      </c>
      <c r="N111" s="140">
        <v>0</v>
      </c>
      <c r="O111" s="140">
        <v>0</v>
      </c>
      <c r="P111" s="140">
        <v>0</v>
      </c>
      <c r="Q111" s="140">
        <v>0</v>
      </c>
      <c r="R111" s="174">
        <v>0</v>
      </c>
      <c r="S111" s="105"/>
      <c r="T111" s="62"/>
      <c r="U111" s="62"/>
      <c r="V111" s="62"/>
      <c r="W111" s="62"/>
      <c r="X111" s="62"/>
      <c r="Y111" s="62"/>
      <c r="Z111" s="62"/>
      <c r="AA111" s="62"/>
      <c r="AB111" s="62"/>
      <c r="AC111" s="62"/>
      <c r="AD111" s="62"/>
      <c r="AE111" s="63"/>
    </row>
    <row r="112" spans="2:31" ht="16.5" thickTop="1" thickBot="1" x14ac:dyDescent="0.3">
      <c r="B112" s="147"/>
      <c r="C112" s="163"/>
      <c r="D112" s="163"/>
      <c r="E112" s="163" t="s">
        <v>275</v>
      </c>
      <c r="F112" s="189" t="s">
        <v>275</v>
      </c>
      <c r="G112" s="158">
        <v>0.05</v>
      </c>
      <c r="H112" s="141">
        <v>0.84097222222222223</v>
      </c>
      <c r="I112" s="141">
        <v>0.89097222222222228</v>
      </c>
      <c r="J112" s="142">
        <v>9000</v>
      </c>
      <c r="K112" s="141">
        <v>0</v>
      </c>
      <c r="L112" s="141">
        <v>0</v>
      </c>
      <c r="M112" s="141">
        <v>0</v>
      </c>
      <c r="N112" s="143">
        <v>0</v>
      </c>
      <c r="O112" s="143">
        <v>0</v>
      </c>
      <c r="P112" s="143">
        <v>0</v>
      </c>
      <c r="Q112" s="143">
        <v>0</v>
      </c>
      <c r="R112" s="175">
        <v>0</v>
      </c>
      <c r="S112" s="105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3"/>
    </row>
    <row r="113" spans="2:31" ht="16.5" thickTop="1" thickBot="1" x14ac:dyDescent="0.3">
      <c r="B113" s="147"/>
      <c r="C113" s="163"/>
      <c r="D113" s="163"/>
      <c r="E113" s="164" t="s">
        <v>278</v>
      </c>
      <c r="F113" s="189" t="s">
        <v>278</v>
      </c>
      <c r="G113" s="158">
        <v>0.05</v>
      </c>
      <c r="H113" s="141">
        <v>0.84097222222222223</v>
      </c>
      <c r="I113" s="141">
        <v>0.89097222222222228</v>
      </c>
      <c r="J113" s="142">
        <v>9000</v>
      </c>
      <c r="K113" s="141">
        <v>0</v>
      </c>
      <c r="L113" s="141">
        <v>0</v>
      </c>
      <c r="M113" s="141">
        <v>0</v>
      </c>
      <c r="N113" s="143">
        <v>0</v>
      </c>
      <c r="O113" s="143">
        <v>0</v>
      </c>
      <c r="P113" s="143">
        <v>0</v>
      </c>
      <c r="Q113" s="143">
        <v>0</v>
      </c>
      <c r="R113" s="175">
        <v>0</v>
      </c>
      <c r="S113" s="105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D113" s="62"/>
      <c r="AE113" s="63"/>
    </row>
    <row r="114" spans="2:31" ht="16.5" thickTop="1" thickBot="1" x14ac:dyDescent="0.3">
      <c r="B114" s="147"/>
      <c r="C114" s="163"/>
      <c r="D114" s="163" t="s">
        <v>269</v>
      </c>
      <c r="E114" s="162" t="s">
        <v>402</v>
      </c>
      <c r="F114" s="188" t="s">
        <v>269</v>
      </c>
      <c r="G114" s="157">
        <v>0.05</v>
      </c>
      <c r="H114" s="138">
        <v>0.84097222222222223</v>
      </c>
      <c r="I114" s="138">
        <v>0.89097222222222228</v>
      </c>
      <c r="J114" s="139">
        <v>9000</v>
      </c>
      <c r="K114" s="138">
        <v>0</v>
      </c>
      <c r="L114" s="138">
        <v>0</v>
      </c>
      <c r="M114" s="138">
        <v>0</v>
      </c>
      <c r="N114" s="140">
        <v>0</v>
      </c>
      <c r="O114" s="140">
        <v>0</v>
      </c>
      <c r="P114" s="140">
        <v>0</v>
      </c>
      <c r="Q114" s="140">
        <v>0</v>
      </c>
      <c r="R114" s="174">
        <v>0</v>
      </c>
      <c r="S114" s="105"/>
      <c r="T114" s="62"/>
      <c r="U114" s="62"/>
      <c r="V114" s="62"/>
      <c r="W114" s="62"/>
      <c r="X114" s="62"/>
      <c r="Y114" s="62"/>
      <c r="Z114" s="62"/>
      <c r="AA114" s="62"/>
      <c r="AB114" s="62"/>
      <c r="AC114" s="62"/>
      <c r="AD114" s="62"/>
      <c r="AE114" s="63"/>
    </row>
    <row r="115" spans="2:31" ht="16.5" thickTop="1" thickBot="1" x14ac:dyDescent="0.3">
      <c r="B115" s="147"/>
      <c r="C115" s="163"/>
      <c r="D115" s="163"/>
      <c r="E115" s="164" t="s">
        <v>269</v>
      </c>
      <c r="F115" s="188" t="s">
        <v>269</v>
      </c>
      <c r="G115" s="157">
        <v>0.05</v>
      </c>
      <c r="H115" s="138">
        <v>0.84097222222222223</v>
      </c>
      <c r="I115" s="138">
        <v>0.89097222222222228</v>
      </c>
      <c r="J115" s="139">
        <v>9000</v>
      </c>
      <c r="K115" s="138">
        <v>0</v>
      </c>
      <c r="L115" s="138">
        <v>0</v>
      </c>
      <c r="M115" s="138">
        <v>0</v>
      </c>
      <c r="N115" s="140">
        <v>0</v>
      </c>
      <c r="O115" s="140">
        <v>0</v>
      </c>
      <c r="P115" s="140">
        <v>0</v>
      </c>
      <c r="Q115" s="140">
        <v>0</v>
      </c>
      <c r="R115" s="174">
        <v>0</v>
      </c>
      <c r="S115" s="105"/>
      <c r="T115" s="62"/>
      <c r="U115" s="62"/>
      <c r="V115" s="62"/>
      <c r="W115" s="62"/>
      <c r="X115" s="62"/>
      <c r="Y115" s="62"/>
      <c r="Z115" s="62"/>
      <c r="AA115" s="62"/>
      <c r="AB115" s="62"/>
      <c r="AC115" s="62"/>
      <c r="AD115" s="62"/>
      <c r="AE115" s="63"/>
    </row>
    <row r="116" spans="2:31" ht="16.5" thickTop="1" thickBot="1" x14ac:dyDescent="0.3">
      <c r="B116" s="147"/>
      <c r="C116" s="163"/>
      <c r="D116" s="163" t="s">
        <v>271</v>
      </c>
      <c r="E116" s="162" t="s">
        <v>402</v>
      </c>
      <c r="F116" s="188" t="s">
        <v>271</v>
      </c>
      <c r="G116" s="157">
        <v>0.05</v>
      </c>
      <c r="H116" s="138">
        <v>0.84097222222222223</v>
      </c>
      <c r="I116" s="138">
        <v>0.89097222222222228</v>
      </c>
      <c r="J116" s="139">
        <v>9000</v>
      </c>
      <c r="K116" s="138">
        <v>0</v>
      </c>
      <c r="L116" s="138">
        <v>0</v>
      </c>
      <c r="M116" s="138">
        <v>0</v>
      </c>
      <c r="N116" s="140">
        <v>0</v>
      </c>
      <c r="O116" s="140">
        <v>0</v>
      </c>
      <c r="P116" s="140">
        <v>0</v>
      </c>
      <c r="Q116" s="140">
        <v>0</v>
      </c>
      <c r="R116" s="174">
        <v>0</v>
      </c>
      <c r="S116" s="105"/>
      <c r="T116" s="62"/>
      <c r="U116" s="62"/>
      <c r="V116" s="62"/>
      <c r="W116" s="62"/>
      <c r="X116" s="62"/>
      <c r="Y116" s="62"/>
      <c r="Z116" s="62"/>
      <c r="AA116" s="62"/>
      <c r="AB116" s="62"/>
      <c r="AC116" s="62"/>
      <c r="AD116" s="62"/>
      <c r="AE116" s="63"/>
    </row>
    <row r="117" spans="2:31" ht="16.5" thickTop="1" thickBot="1" x14ac:dyDescent="0.3">
      <c r="B117" s="147"/>
      <c r="C117" s="163"/>
      <c r="D117" s="163"/>
      <c r="E117" s="164" t="s">
        <v>271</v>
      </c>
      <c r="F117" s="188" t="s">
        <v>271</v>
      </c>
      <c r="G117" s="157">
        <v>0.05</v>
      </c>
      <c r="H117" s="138">
        <v>0.84097222222222223</v>
      </c>
      <c r="I117" s="138">
        <v>0.89097222222222228</v>
      </c>
      <c r="J117" s="139">
        <v>9000</v>
      </c>
      <c r="K117" s="138">
        <v>0</v>
      </c>
      <c r="L117" s="138">
        <v>0</v>
      </c>
      <c r="M117" s="138">
        <v>0</v>
      </c>
      <c r="N117" s="140">
        <v>0</v>
      </c>
      <c r="O117" s="140">
        <v>0</v>
      </c>
      <c r="P117" s="140">
        <v>0</v>
      </c>
      <c r="Q117" s="140">
        <v>0</v>
      </c>
      <c r="R117" s="174">
        <v>0</v>
      </c>
      <c r="S117" s="105"/>
      <c r="T117" s="62"/>
      <c r="U117" s="62"/>
      <c r="V117" s="62"/>
      <c r="W117" s="62"/>
      <c r="X117" s="62"/>
      <c r="Y117" s="62"/>
      <c r="Z117" s="62"/>
      <c r="AA117" s="62"/>
      <c r="AB117" s="62"/>
      <c r="AC117" s="62"/>
      <c r="AD117" s="62"/>
      <c r="AE117" s="63"/>
    </row>
    <row r="118" spans="2:31" ht="16.5" thickTop="1" thickBot="1" x14ac:dyDescent="0.3">
      <c r="B118" s="147"/>
      <c r="C118" s="163"/>
      <c r="D118" s="163" t="s">
        <v>272</v>
      </c>
      <c r="E118" s="162" t="s">
        <v>402</v>
      </c>
      <c r="F118" s="188" t="s">
        <v>272</v>
      </c>
      <c r="G118" s="157">
        <v>0.05</v>
      </c>
      <c r="H118" s="138">
        <v>0.84097222222222223</v>
      </c>
      <c r="I118" s="138">
        <v>0.89097222222222228</v>
      </c>
      <c r="J118" s="139">
        <v>9000</v>
      </c>
      <c r="K118" s="138">
        <v>0</v>
      </c>
      <c r="L118" s="138">
        <v>0</v>
      </c>
      <c r="M118" s="138">
        <v>0</v>
      </c>
      <c r="N118" s="140">
        <v>0</v>
      </c>
      <c r="O118" s="140">
        <v>0</v>
      </c>
      <c r="P118" s="140">
        <v>0</v>
      </c>
      <c r="Q118" s="140">
        <v>0</v>
      </c>
      <c r="R118" s="174">
        <v>0</v>
      </c>
      <c r="S118" s="105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3"/>
    </row>
    <row r="119" spans="2:31" ht="16.5" thickTop="1" thickBot="1" x14ac:dyDescent="0.3">
      <c r="B119" s="147"/>
      <c r="C119" s="163"/>
      <c r="D119" s="163"/>
      <c r="E119" s="164" t="s">
        <v>272</v>
      </c>
      <c r="F119" s="188" t="s">
        <v>272</v>
      </c>
      <c r="G119" s="157">
        <v>0.05</v>
      </c>
      <c r="H119" s="138">
        <v>0.84097222222222223</v>
      </c>
      <c r="I119" s="138">
        <v>0.89097222222222228</v>
      </c>
      <c r="J119" s="139">
        <v>9000</v>
      </c>
      <c r="K119" s="138">
        <v>0</v>
      </c>
      <c r="L119" s="138">
        <v>0</v>
      </c>
      <c r="M119" s="138">
        <v>0</v>
      </c>
      <c r="N119" s="140">
        <v>0</v>
      </c>
      <c r="O119" s="140">
        <v>0</v>
      </c>
      <c r="P119" s="140">
        <v>0</v>
      </c>
      <c r="Q119" s="140">
        <v>0</v>
      </c>
      <c r="R119" s="174">
        <v>0</v>
      </c>
      <c r="S119" s="105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3"/>
    </row>
    <row r="120" spans="2:31" ht="16.5" thickTop="1" thickBot="1" x14ac:dyDescent="0.3">
      <c r="B120" s="147"/>
      <c r="C120" s="163"/>
      <c r="D120" s="163" t="s">
        <v>267</v>
      </c>
      <c r="E120" s="162" t="s">
        <v>402</v>
      </c>
      <c r="F120" s="189" t="s">
        <v>267</v>
      </c>
      <c r="G120" s="158">
        <v>0.2</v>
      </c>
      <c r="H120" s="141">
        <v>3.3638888888888889</v>
      </c>
      <c r="I120" s="141">
        <v>3.5638888888888891</v>
      </c>
      <c r="J120" s="142">
        <v>36000</v>
      </c>
      <c r="K120" s="141">
        <v>0.22083333333333333</v>
      </c>
      <c r="L120" s="141">
        <v>0.12916666666666668</v>
      </c>
      <c r="M120" s="141">
        <v>0.35</v>
      </c>
      <c r="N120" s="143">
        <v>8342</v>
      </c>
      <c r="O120" s="143">
        <v>2421</v>
      </c>
      <c r="P120" s="143">
        <v>10763</v>
      </c>
      <c r="Q120" s="143">
        <v>0</v>
      </c>
      <c r="R120" s="175">
        <v>10763</v>
      </c>
      <c r="S120" s="105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3"/>
    </row>
    <row r="121" spans="2:31" ht="16.5" thickTop="1" thickBot="1" x14ac:dyDescent="0.3">
      <c r="B121" s="147"/>
      <c r="C121" s="163"/>
      <c r="D121" s="163"/>
      <c r="E121" s="164" t="s">
        <v>268</v>
      </c>
      <c r="F121" s="188" t="s">
        <v>268</v>
      </c>
      <c r="G121" s="157">
        <v>0.2</v>
      </c>
      <c r="H121" s="138">
        <v>3.3638888888888889</v>
      </c>
      <c r="I121" s="138">
        <v>3.5638888888888891</v>
      </c>
      <c r="J121" s="139">
        <v>36000</v>
      </c>
      <c r="K121" s="138">
        <v>0.22083333333333333</v>
      </c>
      <c r="L121" s="138">
        <v>0.12916666666666665</v>
      </c>
      <c r="M121" s="138">
        <v>0.35</v>
      </c>
      <c r="N121" s="140">
        <v>8342</v>
      </c>
      <c r="O121" s="140">
        <v>2421</v>
      </c>
      <c r="P121" s="140">
        <v>10763</v>
      </c>
      <c r="Q121" s="140">
        <v>0</v>
      </c>
      <c r="R121" s="174">
        <v>10763</v>
      </c>
      <c r="S121" s="105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3"/>
    </row>
    <row r="122" spans="2:31" ht="16.5" thickTop="1" thickBot="1" x14ac:dyDescent="0.3">
      <c r="B122" s="147"/>
      <c r="C122" s="163"/>
      <c r="D122" s="163" t="s">
        <v>273</v>
      </c>
      <c r="E122" s="162" t="s">
        <v>402</v>
      </c>
      <c r="F122" s="188" t="s">
        <v>273</v>
      </c>
      <c r="G122" s="157">
        <v>0.1</v>
      </c>
      <c r="H122" s="138">
        <v>1.6819444444444445</v>
      </c>
      <c r="I122" s="138">
        <v>1.7819444444444446</v>
      </c>
      <c r="J122" s="139">
        <v>18000</v>
      </c>
      <c r="K122" s="138">
        <v>0</v>
      </c>
      <c r="L122" s="138">
        <v>0</v>
      </c>
      <c r="M122" s="138">
        <v>0</v>
      </c>
      <c r="N122" s="140">
        <v>0</v>
      </c>
      <c r="O122" s="140">
        <v>0</v>
      </c>
      <c r="P122" s="140">
        <v>0</v>
      </c>
      <c r="Q122" s="140">
        <v>0</v>
      </c>
      <c r="R122" s="174">
        <v>0</v>
      </c>
      <c r="S122" s="105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3"/>
    </row>
    <row r="123" spans="2:31" ht="16.5" thickTop="1" thickBot="1" x14ac:dyDescent="0.3">
      <c r="B123" s="147"/>
      <c r="C123" s="163"/>
      <c r="D123" s="163"/>
      <c r="E123" s="163" t="s">
        <v>274</v>
      </c>
      <c r="F123" s="189" t="s">
        <v>274</v>
      </c>
      <c r="G123" s="158">
        <v>0.05</v>
      </c>
      <c r="H123" s="141">
        <v>0.84097222222222223</v>
      </c>
      <c r="I123" s="141">
        <v>0.89097222222222228</v>
      </c>
      <c r="J123" s="142">
        <v>9000</v>
      </c>
      <c r="K123" s="141">
        <v>0</v>
      </c>
      <c r="L123" s="141">
        <v>0</v>
      </c>
      <c r="M123" s="141">
        <v>0</v>
      </c>
      <c r="N123" s="143">
        <v>0</v>
      </c>
      <c r="O123" s="143">
        <v>0</v>
      </c>
      <c r="P123" s="143">
        <v>0</v>
      </c>
      <c r="Q123" s="143">
        <v>0</v>
      </c>
      <c r="R123" s="175">
        <v>0</v>
      </c>
      <c r="S123" s="105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3"/>
    </row>
    <row r="124" spans="2:31" ht="16.5" thickTop="1" thickBot="1" x14ac:dyDescent="0.3">
      <c r="B124" s="147"/>
      <c r="C124" s="163"/>
      <c r="D124" s="163"/>
      <c r="E124" s="164" t="s">
        <v>277</v>
      </c>
      <c r="F124" s="189" t="s">
        <v>277</v>
      </c>
      <c r="G124" s="158">
        <v>0.05</v>
      </c>
      <c r="H124" s="141">
        <v>0.84097222222222223</v>
      </c>
      <c r="I124" s="141">
        <v>0.89097222222222228</v>
      </c>
      <c r="J124" s="142">
        <v>9000</v>
      </c>
      <c r="K124" s="141">
        <v>0</v>
      </c>
      <c r="L124" s="141">
        <v>0</v>
      </c>
      <c r="M124" s="141">
        <v>0</v>
      </c>
      <c r="N124" s="143">
        <v>0</v>
      </c>
      <c r="O124" s="143">
        <v>0</v>
      </c>
      <c r="P124" s="143">
        <v>0</v>
      </c>
      <c r="Q124" s="143">
        <v>0</v>
      </c>
      <c r="R124" s="175">
        <v>0</v>
      </c>
      <c r="S124" s="105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3"/>
    </row>
    <row r="125" spans="2:31" ht="16.5" thickTop="1" thickBot="1" x14ac:dyDescent="0.3">
      <c r="B125" s="147"/>
      <c r="C125" s="163"/>
      <c r="D125" s="163" t="s">
        <v>134</v>
      </c>
      <c r="E125" s="162" t="s">
        <v>402</v>
      </c>
      <c r="F125" s="188" t="s">
        <v>134</v>
      </c>
      <c r="G125" s="157">
        <v>0.05</v>
      </c>
      <c r="H125" s="138">
        <v>0.84097222222222223</v>
      </c>
      <c r="I125" s="138">
        <v>0.89097222222222228</v>
      </c>
      <c r="J125" s="139">
        <v>9000</v>
      </c>
      <c r="K125" s="138">
        <v>0</v>
      </c>
      <c r="L125" s="138">
        <v>0</v>
      </c>
      <c r="M125" s="138">
        <v>0</v>
      </c>
      <c r="N125" s="140">
        <v>0</v>
      </c>
      <c r="O125" s="140">
        <v>0</v>
      </c>
      <c r="P125" s="140">
        <v>0</v>
      </c>
      <c r="Q125" s="140">
        <v>0</v>
      </c>
      <c r="R125" s="174">
        <v>0</v>
      </c>
      <c r="S125" s="105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3"/>
    </row>
    <row r="126" spans="2:31" ht="16.5" thickTop="1" thickBot="1" x14ac:dyDescent="0.3">
      <c r="B126" s="147"/>
      <c r="C126" s="163"/>
      <c r="D126" s="164"/>
      <c r="E126" s="164" t="s">
        <v>134</v>
      </c>
      <c r="F126" s="188" t="s">
        <v>134</v>
      </c>
      <c r="G126" s="157">
        <v>0.05</v>
      </c>
      <c r="H126" s="138">
        <v>0.84097222222222223</v>
      </c>
      <c r="I126" s="138">
        <v>0.89097222222222228</v>
      </c>
      <c r="J126" s="139">
        <v>9000</v>
      </c>
      <c r="K126" s="138">
        <v>0</v>
      </c>
      <c r="L126" s="138">
        <v>0</v>
      </c>
      <c r="M126" s="138">
        <v>0</v>
      </c>
      <c r="N126" s="140">
        <v>0</v>
      </c>
      <c r="O126" s="140">
        <v>0</v>
      </c>
      <c r="P126" s="140">
        <v>0</v>
      </c>
      <c r="Q126" s="140">
        <v>0</v>
      </c>
      <c r="R126" s="174">
        <v>0</v>
      </c>
      <c r="S126" s="105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3"/>
    </row>
    <row r="127" spans="2:31" ht="16.5" thickTop="1" thickBot="1" x14ac:dyDescent="0.3">
      <c r="B127" s="147"/>
      <c r="C127" s="163" t="s">
        <v>168</v>
      </c>
      <c r="D127" s="165" t="s">
        <v>364</v>
      </c>
      <c r="E127" s="166" t="s">
        <v>364</v>
      </c>
      <c r="F127" s="187" t="s">
        <v>168</v>
      </c>
      <c r="G127" s="159">
        <v>0.45</v>
      </c>
      <c r="H127" s="144">
        <v>7.5687499999999996</v>
      </c>
      <c r="I127" s="144">
        <v>8.0187500000000007</v>
      </c>
      <c r="J127" s="145">
        <v>81000</v>
      </c>
      <c r="K127" s="144">
        <v>0</v>
      </c>
      <c r="L127" s="144">
        <v>0</v>
      </c>
      <c r="M127" s="144">
        <v>0</v>
      </c>
      <c r="N127" s="146">
        <v>0</v>
      </c>
      <c r="O127" s="146">
        <v>0</v>
      </c>
      <c r="P127" s="146">
        <v>0</v>
      </c>
      <c r="Q127" s="146">
        <v>0</v>
      </c>
      <c r="R127" s="176">
        <v>0</v>
      </c>
      <c r="S127" s="105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3"/>
    </row>
    <row r="128" spans="2:31" ht="16.5" thickTop="1" thickBot="1" x14ac:dyDescent="0.3">
      <c r="B128" s="147"/>
      <c r="C128" s="163"/>
      <c r="D128" s="163" t="s">
        <v>270</v>
      </c>
      <c r="E128" s="162" t="s">
        <v>402</v>
      </c>
      <c r="F128" s="188" t="s">
        <v>270</v>
      </c>
      <c r="G128" s="157">
        <v>0.1</v>
      </c>
      <c r="H128" s="138">
        <v>1.6819444444444445</v>
      </c>
      <c r="I128" s="138">
        <v>1.7819444444444446</v>
      </c>
      <c r="J128" s="139">
        <v>18000</v>
      </c>
      <c r="K128" s="138">
        <v>0</v>
      </c>
      <c r="L128" s="138">
        <v>0</v>
      </c>
      <c r="M128" s="138">
        <v>0</v>
      </c>
      <c r="N128" s="140">
        <v>0</v>
      </c>
      <c r="O128" s="140">
        <v>0</v>
      </c>
      <c r="P128" s="140">
        <v>0</v>
      </c>
      <c r="Q128" s="140">
        <v>0</v>
      </c>
      <c r="R128" s="174">
        <v>0</v>
      </c>
      <c r="S128" s="105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3"/>
    </row>
    <row r="129" spans="2:31" ht="16.5" thickTop="1" thickBot="1" x14ac:dyDescent="0.3">
      <c r="B129" s="147"/>
      <c r="C129" s="163"/>
      <c r="D129" s="163"/>
      <c r="E129" s="163" t="s">
        <v>275</v>
      </c>
      <c r="F129" s="189" t="s">
        <v>275</v>
      </c>
      <c r="G129" s="158">
        <v>0.05</v>
      </c>
      <c r="H129" s="141">
        <v>0.84097222222222223</v>
      </c>
      <c r="I129" s="141">
        <v>0.89097222222222228</v>
      </c>
      <c r="J129" s="142">
        <v>9000</v>
      </c>
      <c r="K129" s="141">
        <v>0</v>
      </c>
      <c r="L129" s="141">
        <v>0</v>
      </c>
      <c r="M129" s="141">
        <v>0</v>
      </c>
      <c r="N129" s="143">
        <v>0</v>
      </c>
      <c r="O129" s="143">
        <v>0</v>
      </c>
      <c r="P129" s="143">
        <v>0</v>
      </c>
      <c r="Q129" s="143">
        <v>0</v>
      </c>
      <c r="R129" s="175">
        <v>0</v>
      </c>
      <c r="S129" s="105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3"/>
    </row>
    <row r="130" spans="2:31" ht="16.5" thickTop="1" thickBot="1" x14ac:dyDescent="0.3">
      <c r="B130" s="147"/>
      <c r="C130" s="163"/>
      <c r="D130" s="163"/>
      <c r="E130" s="164" t="s">
        <v>278</v>
      </c>
      <c r="F130" s="189" t="s">
        <v>278</v>
      </c>
      <c r="G130" s="158">
        <v>0.05</v>
      </c>
      <c r="H130" s="141">
        <v>0.84097222222222223</v>
      </c>
      <c r="I130" s="141">
        <v>0.89097222222222228</v>
      </c>
      <c r="J130" s="142">
        <v>9000</v>
      </c>
      <c r="K130" s="141">
        <v>0</v>
      </c>
      <c r="L130" s="141">
        <v>0</v>
      </c>
      <c r="M130" s="141">
        <v>0</v>
      </c>
      <c r="N130" s="143">
        <v>0</v>
      </c>
      <c r="O130" s="143">
        <v>0</v>
      </c>
      <c r="P130" s="143">
        <v>0</v>
      </c>
      <c r="Q130" s="143">
        <v>0</v>
      </c>
      <c r="R130" s="175">
        <v>0</v>
      </c>
      <c r="S130" s="105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3"/>
    </row>
    <row r="131" spans="2:31" ht="16.5" thickTop="1" thickBot="1" x14ac:dyDescent="0.3">
      <c r="B131" s="147"/>
      <c r="C131" s="163"/>
      <c r="D131" s="163" t="s">
        <v>269</v>
      </c>
      <c r="E131" s="162" t="s">
        <v>402</v>
      </c>
      <c r="F131" s="188" t="s">
        <v>269</v>
      </c>
      <c r="G131" s="157">
        <v>0.05</v>
      </c>
      <c r="H131" s="138">
        <v>0.84097222222222223</v>
      </c>
      <c r="I131" s="138">
        <v>0.89097222222222228</v>
      </c>
      <c r="J131" s="139">
        <v>9000</v>
      </c>
      <c r="K131" s="138">
        <v>0</v>
      </c>
      <c r="L131" s="138">
        <v>0</v>
      </c>
      <c r="M131" s="138">
        <v>0</v>
      </c>
      <c r="N131" s="140">
        <v>0</v>
      </c>
      <c r="O131" s="140">
        <v>0</v>
      </c>
      <c r="P131" s="140">
        <v>0</v>
      </c>
      <c r="Q131" s="140">
        <v>0</v>
      </c>
      <c r="R131" s="174">
        <v>0</v>
      </c>
      <c r="S131" s="105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3"/>
    </row>
    <row r="132" spans="2:31" ht="16.5" thickTop="1" thickBot="1" x14ac:dyDescent="0.3">
      <c r="B132" s="147"/>
      <c r="C132" s="163"/>
      <c r="D132" s="163"/>
      <c r="E132" s="164" t="s">
        <v>269</v>
      </c>
      <c r="F132" s="188" t="s">
        <v>269</v>
      </c>
      <c r="G132" s="157">
        <v>0.05</v>
      </c>
      <c r="H132" s="138">
        <v>0.84097222222222223</v>
      </c>
      <c r="I132" s="138">
        <v>0.89097222222222228</v>
      </c>
      <c r="J132" s="139">
        <v>9000</v>
      </c>
      <c r="K132" s="138">
        <v>0</v>
      </c>
      <c r="L132" s="138">
        <v>0</v>
      </c>
      <c r="M132" s="138">
        <v>0</v>
      </c>
      <c r="N132" s="140">
        <v>0</v>
      </c>
      <c r="O132" s="140">
        <v>0</v>
      </c>
      <c r="P132" s="140">
        <v>0</v>
      </c>
      <c r="Q132" s="140">
        <v>0</v>
      </c>
      <c r="R132" s="174">
        <v>0</v>
      </c>
      <c r="S132" s="105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3"/>
    </row>
    <row r="133" spans="2:31" ht="16.5" thickTop="1" thickBot="1" x14ac:dyDescent="0.3">
      <c r="B133" s="147"/>
      <c r="C133" s="163"/>
      <c r="D133" s="163" t="s">
        <v>271</v>
      </c>
      <c r="E133" s="162" t="s">
        <v>402</v>
      </c>
      <c r="F133" s="188" t="s">
        <v>271</v>
      </c>
      <c r="G133" s="157">
        <v>0.05</v>
      </c>
      <c r="H133" s="138">
        <v>0.84097222222222223</v>
      </c>
      <c r="I133" s="138">
        <v>0.89097222222222228</v>
      </c>
      <c r="J133" s="139">
        <v>9000</v>
      </c>
      <c r="K133" s="138">
        <v>0</v>
      </c>
      <c r="L133" s="138">
        <v>0</v>
      </c>
      <c r="M133" s="138">
        <v>0</v>
      </c>
      <c r="N133" s="140">
        <v>0</v>
      </c>
      <c r="O133" s="140">
        <v>0</v>
      </c>
      <c r="P133" s="140">
        <v>0</v>
      </c>
      <c r="Q133" s="140">
        <v>0</v>
      </c>
      <c r="R133" s="174">
        <v>0</v>
      </c>
      <c r="S133" s="105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3"/>
    </row>
    <row r="134" spans="2:31" ht="16.5" thickTop="1" thickBot="1" x14ac:dyDescent="0.3">
      <c r="B134" s="147"/>
      <c r="C134" s="163"/>
      <c r="D134" s="163"/>
      <c r="E134" s="164" t="s">
        <v>271</v>
      </c>
      <c r="F134" s="188" t="s">
        <v>271</v>
      </c>
      <c r="G134" s="157">
        <v>0.05</v>
      </c>
      <c r="H134" s="138">
        <v>0.84097222222222223</v>
      </c>
      <c r="I134" s="138">
        <v>0.89097222222222228</v>
      </c>
      <c r="J134" s="139">
        <v>9000</v>
      </c>
      <c r="K134" s="138">
        <v>0</v>
      </c>
      <c r="L134" s="138">
        <v>0</v>
      </c>
      <c r="M134" s="138">
        <v>0</v>
      </c>
      <c r="N134" s="140">
        <v>0</v>
      </c>
      <c r="O134" s="140">
        <v>0</v>
      </c>
      <c r="P134" s="140">
        <v>0</v>
      </c>
      <c r="Q134" s="140">
        <v>0</v>
      </c>
      <c r="R134" s="174">
        <v>0</v>
      </c>
      <c r="S134" s="105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3"/>
    </row>
    <row r="135" spans="2:31" ht="16.5" thickTop="1" thickBot="1" x14ac:dyDescent="0.3">
      <c r="B135" s="147"/>
      <c r="C135" s="163"/>
      <c r="D135" s="163" t="s">
        <v>272</v>
      </c>
      <c r="E135" s="162" t="s">
        <v>402</v>
      </c>
      <c r="F135" s="188" t="s">
        <v>272</v>
      </c>
      <c r="G135" s="157">
        <v>0.05</v>
      </c>
      <c r="H135" s="138">
        <v>0.84097222222222223</v>
      </c>
      <c r="I135" s="138">
        <v>0.89097222222222228</v>
      </c>
      <c r="J135" s="139">
        <v>9000</v>
      </c>
      <c r="K135" s="138">
        <v>0</v>
      </c>
      <c r="L135" s="138">
        <v>0</v>
      </c>
      <c r="M135" s="138">
        <v>0</v>
      </c>
      <c r="N135" s="140">
        <v>0</v>
      </c>
      <c r="O135" s="140">
        <v>0</v>
      </c>
      <c r="P135" s="140">
        <v>0</v>
      </c>
      <c r="Q135" s="140">
        <v>0</v>
      </c>
      <c r="R135" s="174">
        <v>0</v>
      </c>
      <c r="S135" s="105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3"/>
    </row>
    <row r="136" spans="2:31" ht="16.5" thickTop="1" thickBot="1" x14ac:dyDescent="0.3">
      <c r="B136" s="147"/>
      <c r="C136" s="163"/>
      <c r="D136" s="163"/>
      <c r="E136" s="164" t="s">
        <v>272</v>
      </c>
      <c r="F136" s="188" t="s">
        <v>272</v>
      </c>
      <c r="G136" s="157">
        <v>0.05</v>
      </c>
      <c r="H136" s="138">
        <v>0.84097222222222223</v>
      </c>
      <c r="I136" s="138">
        <v>0.89097222222222228</v>
      </c>
      <c r="J136" s="139">
        <v>9000</v>
      </c>
      <c r="K136" s="138">
        <v>0</v>
      </c>
      <c r="L136" s="138">
        <v>0</v>
      </c>
      <c r="M136" s="138">
        <v>0</v>
      </c>
      <c r="N136" s="140">
        <v>0</v>
      </c>
      <c r="O136" s="140">
        <v>0</v>
      </c>
      <c r="P136" s="140">
        <v>0</v>
      </c>
      <c r="Q136" s="140">
        <v>0</v>
      </c>
      <c r="R136" s="174">
        <v>0</v>
      </c>
      <c r="S136" s="105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3"/>
    </row>
    <row r="137" spans="2:31" ht="16.5" thickTop="1" thickBot="1" x14ac:dyDescent="0.3">
      <c r="B137" s="147"/>
      <c r="C137" s="163"/>
      <c r="D137" s="163" t="s">
        <v>267</v>
      </c>
      <c r="E137" s="162" t="s">
        <v>402</v>
      </c>
      <c r="F137" s="189" t="s">
        <v>267</v>
      </c>
      <c r="G137" s="158">
        <v>0.05</v>
      </c>
      <c r="H137" s="141">
        <v>0.84097222222222223</v>
      </c>
      <c r="I137" s="141">
        <v>0.89097222222222228</v>
      </c>
      <c r="J137" s="142">
        <v>9000</v>
      </c>
      <c r="K137" s="141">
        <v>0</v>
      </c>
      <c r="L137" s="141">
        <v>0</v>
      </c>
      <c r="M137" s="141">
        <v>0</v>
      </c>
      <c r="N137" s="143">
        <v>0</v>
      </c>
      <c r="O137" s="143">
        <v>0</v>
      </c>
      <c r="P137" s="143">
        <v>0</v>
      </c>
      <c r="Q137" s="143">
        <v>0</v>
      </c>
      <c r="R137" s="175">
        <v>0</v>
      </c>
      <c r="S137" s="105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3"/>
    </row>
    <row r="138" spans="2:31" ht="16.5" thickTop="1" thickBot="1" x14ac:dyDescent="0.3">
      <c r="B138" s="147"/>
      <c r="C138" s="163"/>
      <c r="D138" s="163"/>
      <c r="E138" s="164" t="s">
        <v>268</v>
      </c>
      <c r="F138" s="188" t="s">
        <v>268</v>
      </c>
      <c r="G138" s="157">
        <v>0.05</v>
      </c>
      <c r="H138" s="138">
        <v>0.84097222222222223</v>
      </c>
      <c r="I138" s="138">
        <v>0.89097222222222228</v>
      </c>
      <c r="J138" s="139">
        <v>9000</v>
      </c>
      <c r="K138" s="138">
        <v>0</v>
      </c>
      <c r="L138" s="138">
        <v>0</v>
      </c>
      <c r="M138" s="138">
        <v>0</v>
      </c>
      <c r="N138" s="140">
        <v>0</v>
      </c>
      <c r="O138" s="140">
        <v>0</v>
      </c>
      <c r="P138" s="140">
        <v>0</v>
      </c>
      <c r="Q138" s="140">
        <v>0</v>
      </c>
      <c r="R138" s="174">
        <v>0</v>
      </c>
      <c r="S138" s="105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3"/>
    </row>
    <row r="139" spans="2:31" ht="16.5" thickTop="1" thickBot="1" x14ac:dyDescent="0.3">
      <c r="B139" s="147"/>
      <c r="C139" s="163"/>
      <c r="D139" s="163" t="s">
        <v>273</v>
      </c>
      <c r="E139" s="162" t="s">
        <v>402</v>
      </c>
      <c r="F139" s="188" t="s">
        <v>273</v>
      </c>
      <c r="G139" s="157">
        <v>0.1</v>
      </c>
      <c r="H139" s="138">
        <v>1.6819444444444445</v>
      </c>
      <c r="I139" s="138">
        <v>1.7819444444444446</v>
      </c>
      <c r="J139" s="139">
        <v>18000</v>
      </c>
      <c r="K139" s="138">
        <v>0</v>
      </c>
      <c r="L139" s="138">
        <v>0</v>
      </c>
      <c r="M139" s="138">
        <v>0</v>
      </c>
      <c r="N139" s="140">
        <v>0</v>
      </c>
      <c r="O139" s="140">
        <v>0</v>
      </c>
      <c r="P139" s="140">
        <v>0</v>
      </c>
      <c r="Q139" s="140">
        <v>0</v>
      </c>
      <c r="R139" s="174">
        <v>0</v>
      </c>
      <c r="S139" s="105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3"/>
    </row>
    <row r="140" spans="2:31" ht="16.5" thickTop="1" thickBot="1" x14ac:dyDescent="0.3">
      <c r="B140" s="147"/>
      <c r="C140" s="163"/>
      <c r="D140" s="163"/>
      <c r="E140" s="163" t="s">
        <v>274</v>
      </c>
      <c r="F140" s="189" t="s">
        <v>274</v>
      </c>
      <c r="G140" s="158">
        <v>0.05</v>
      </c>
      <c r="H140" s="141">
        <v>0.84097222222222223</v>
      </c>
      <c r="I140" s="141">
        <v>0.89097222222222228</v>
      </c>
      <c r="J140" s="142">
        <v>9000</v>
      </c>
      <c r="K140" s="141">
        <v>0</v>
      </c>
      <c r="L140" s="141">
        <v>0</v>
      </c>
      <c r="M140" s="141">
        <v>0</v>
      </c>
      <c r="N140" s="143">
        <v>0</v>
      </c>
      <c r="O140" s="143">
        <v>0</v>
      </c>
      <c r="P140" s="143">
        <v>0</v>
      </c>
      <c r="Q140" s="143">
        <v>0</v>
      </c>
      <c r="R140" s="175">
        <v>0</v>
      </c>
      <c r="S140" s="105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3"/>
    </row>
    <row r="141" spans="2:31" ht="16.5" thickTop="1" thickBot="1" x14ac:dyDescent="0.3">
      <c r="B141" s="147"/>
      <c r="C141" s="163"/>
      <c r="D141" s="163"/>
      <c r="E141" s="164" t="s">
        <v>277</v>
      </c>
      <c r="F141" s="189" t="s">
        <v>277</v>
      </c>
      <c r="G141" s="158">
        <v>0.05</v>
      </c>
      <c r="H141" s="141">
        <v>0.84097222222222223</v>
      </c>
      <c r="I141" s="141">
        <v>0.89097222222222228</v>
      </c>
      <c r="J141" s="142">
        <v>9000</v>
      </c>
      <c r="K141" s="141">
        <v>0</v>
      </c>
      <c r="L141" s="141">
        <v>0</v>
      </c>
      <c r="M141" s="141">
        <v>0</v>
      </c>
      <c r="N141" s="143">
        <v>0</v>
      </c>
      <c r="O141" s="143">
        <v>0</v>
      </c>
      <c r="P141" s="143">
        <v>0</v>
      </c>
      <c r="Q141" s="143">
        <v>0</v>
      </c>
      <c r="R141" s="175">
        <v>0</v>
      </c>
      <c r="S141" s="105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3"/>
    </row>
    <row r="142" spans="2:31" ht="16.5" thickTop="1" thickBot="1" x14ac:dyDescent="0.3">
      <c r="B142" s="147"/>
      <c r="C142" s="163"/>
      <c r="D142" s="163" t="s">
        <v>134</v>
      </c>
      <c r="E142" s="162" t="s">
        <v>402</v>
      </c>
      <c r="F142" s="188" t="s">
        <v>134</v>
      </c>
      <c r="G142" s="157">
        <v>0.05</v>
      </c>
      <c r="H142" s="138">
        <v>0.84097222222222223</v>
      </c>
      <c r="I142" s="138">
        <v>0.89097222222222228</v>
      </c>
      <c r="J142" s="139">
        <v>9000</v>
      </c>
      <c r="K142" s="138">
        <v>0</v>
      </c>
      <c r="L142" s="138">
        <v>0</v>
      </c>
      <c r="M142" s="138">
        <v>0</v>
      </c>
      <c r="N142" s="140">
        <v>0</v>
      </c>
      <c r="O142" s="140">
        <v>0</v>
      </c>
      <c r="P142" s="140">
        <v>0</v>
      </c>
      <c r="Q142" s="140">
        <v>0</v>
      </c>
      <c r="R142" s="174">
        <v>0</v>
      </c>
      <c r="S142" s="105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3"/>
    </row>
    <row r="143" spans="2:31" ht="16.5" thickTop="1" thickBot="1" x14ac:dyDescent="0.3">
      <c r="B143" s="147"/>
      <c r="C143" s="163"/>
      <c r="D143" s="164"/>
      <c r="E143" s="164" t="s">
        <v>134</v>
      </c>
      <c r="F143" s="188" t="s">
        <v>134</v>
      </c>
      <c r="G143" s="157">
        <v>0.05</v>
      </c>
      <c r="H143" s="138">
        <v>0.84097222222222223</v>
      </c>
      <c r="I143" s="138">
        <v>0.89097222222222228</v>
      </c>
      <c r="J143" s="139">
        <v>9000</v>
      </c>
      <c r="K143" s="138">
        <v>0</v>
      </c>
      <c r="L143" s="138">
        <v>0</v>
      </c>
      <c r="M143" s="138">
        <v>0</v>
      </c>
      <c r="N143" s="140">
        <v>0</v>
      </c>
      <c r="O143" s="140">
        <v>0</v>
      </c>
      <c r="P143" s="140">
        <v>0</v>
      </c>
      <c r="Q143" s="140">
        <v>0</v>
      </c>
      <c r="R143" s="174">
        <v>0</v>
      </c>
      <c r="S143" s="105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3"/>
    </row>
    <row r="144" spans="2:31" ht="16.5" thickTop="1" thickBot="1" x14ac:dyDescent="0.3">
      <c r="B144" s="147"/>
      <c r="C144" s="163" t="s">
        <v>166</v>
      </c>
      <c r="D144" s="165" t="s">
        <v>364</v>
      </c>
      <c r="E144" s="166" t="s">
        <v>364</v>
      </c>
      <c r="F144" s="187" t="s">
        <v>166</v>
      </c>
      <c r="G144" s="159">
        <v>0.45</v>
      </c>
      <c r="H144" s="144">
        <v>7.5687499999999996</v>
      </c>
      <c r="I144" s="144">
        <v>8.0187500000000007</v>
      </c>
      <c r="J144" s="145">
        <v>81000</v>
      </c>
      <c r="K144" s="144">
        <v>0</v>
      </c>
      <c r="L144" s="144">
        <v>0</v>
      </c>
      <c r="M144" s="144">
        <v>0</v>
      </c>
      <c r="N144" s="146">
        <v>0</v>
      </c>
      <c r="O144" s="146">
        <v>0</v>
      </c>
      <c r="P144" s="146">
        <v>0</v>
      </c>
      <c r="Q144" s="146">
        <v>0</v>
      </c>
      <c r="R144" s="176">
        <v>0</v>
      </c>
      <c r="S144" s="105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3"/>
    </row>
    <row r="145" spans="2:31" ht="16.5" thickTop="1" thickBot="1" x14ac:dyDescent="0.3">
      <c r="B145" s="147"/>
      <c r="C145" s="163"/>
      <c r="D145" s="163" t="s">
        <v>270</v>
      </c>
      <c r="E145" s="162" t="s">
        <v>402</v>
      </c>
      <c r="F145" s="188" t="s">
        <v>270</v>
      </c>
      <c r="G145" s="157">
        <v>0.1</v>
      </c>
      <c r="H145" s="138">
        <v>1.6819444444444445</v>
      </c>
      <c r="I145" s="138">
        <v>1.7819444444444446</v>
      </c>
      <c r="J145" s="139">
        <v>18000</v>
      </c>
      <c r="K145" s="138">
        <v>0</v>
      </c>
      <c r="L145" s="138">
        <v>0</v>
      </c>
      <c r="M145" s="138">
        <v>0</v>
      </c>
      <c r="N145" s="140">
        <v>0</v>
      </c>
      <c r="O145" s="140">
        <v>0</v>
      </c>
      <c r="P145" s="140">
        <v>0</v>
      </c>
      <c r="Q145" s="140">
        <v>0</v>
      </c>
      <c r="R145" s="174">
        <v>0</v>
      </c>
      <c r="S145" s="105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3"/>
    </row>
    <row r="146" spans="2:31" ht="16.5" thickTop="1" thickBot="1" x14ac:dyDescent="0.3">
      <c r="B146" s="147"/>
      <c r="C146" s="163"/>
      <c r="D146" s="163"/>
      <c r="E146" s="163" t="s">
        <v>275</v>
      </c>
      <c r="F146" s="189" t="s">
        <v>275</v>
      </c>
      <c r="G146" s="158">
        <v>0.05</v>
      </c>
      <c r="H146" s="141">
        <v>0.84097222222222223</v>
      </c>
      <c r="I146" s="141">
        <v>0.89097222222222228</v>
      </c>
      <c r="J146" s="142">
        <v>9000</v>
      </c>
      <c r="K146" s="141">
        <v>0</v>
      </c>
      <c r="L146" s="141">
        <v>0</v>
      </c>
      <c r="M146" s="141">
        <v>0</v>
      </c>
      <c r="N146" s="143">
        <v>0</v>
      </c>
      <c r="O146" s="143">
        <v>0</v>
      </c>
      <c r="P146" s="143">
        <v>0</v>
      </c>
      <c r="Q146" s="143">
        <v>0</v>
      </c>
      <c r="R146" s="175">
        <v>0</v>
      </c>
      <c r="S146" s="105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3"/>
    </row>
    <row r="147" spans="2:31" ht="16.5" thickTop="1" thickBot="1" x14ac:dyDescent="0.3">
      <c r="B147" s="147"/>
      <c r="C147" s="163"/>
      <c r="D147" s="163"/>
      <c r="E147" s="164" t="s">
        <v>278</v>
      </c>
      <c r="F147" s="189" t="s">
        <v>278</v>
      </c>
      <c r="G147" s="158">
        <v>0.05</v>
      </c>
      <c r="H147" s="141">
        <v>0.84097222222222223</v>
      </c>
      <c r="I147" s="141">
        <v>0.89097222222222228</v>
      </c>
      <c r="J147" s="142">
        <v>9000</v>
      </c>
      <c r="K147" s="141">
        <v>0</v>
      </c>
      <c r="L147" s="141">
        <v>0</v>
      </c>
      <c r="M147" s="141">
        <v>0</v>
      </c>
      <c r="N147" s="143">
        <v>0</v>
      </c>
      <c r="O147" s="143">
        <v>0</v>
      </c>
      <c r="P147" s="143">
        <v>0</v>
      </c>
      <c r="Q147" s="143">
        <v>0</v>
      </c>
      <c r="R147" s="175">
        <v>0</v>
      </c>
      <c r="S147" s="105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3"/>
    </row>
    <row r="148" spans="2:31" ht="16.5" thickTop="1" thickBot="1" x14ac:dyDescent="0.3">
      <c r="B148" s="147"/>
      <c r="C148" s="163"/>
      <c r="D148" s="163" t="s">
        <v>269</v>
      </c>
      <c r="E148" s="162" t="s">
        <v>402</v>
      </c>
      <c r="F148" s="188" t="s">
        <v>269</v>
      </c>
      <c r="G148" s="157">
        <v>0.05</v>
      </c>
      <c r="H148" s="138">
        <v>0.84097222222222223</v>
      </c>
      <c r="I148" s="138">
        <v>0.89097222222222228</v>
      </c>
      <c r="J148" s="139">
        <v>9000</v>
      </c>
      <c r="K148" s="138">
        <v>0</v>
      </c>
      <c r="L148" s="138">
        <v>0</v>
      </c>
      <c r="M148" s="138">
        <v>0</v>
      </c>
      <c r="N148" s="140">
        <v>0</v>
      </c>
      <c r="O148" s="140">
        <v>0</v>
      </c>
      <c r="P148" s="140">
        <v>0</v>
      </c>
      <c r="Q148" s="140">
        <v>0</v>
      </c>
      <c r="R148" s="174">
        <v>0</v>
      </c>
      <c r="S148" s="105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3"/>
    </row>
    <row r="149" spans="2:31" ht="16.5" thickTop="1" thickBot="1" x14ac:dyDescent="0.3">
      <c r="B149" s="147"/>
      <c r="C149" s="163"/>
      <c r="D149" s="163"/>
      <c r="E149" s="164" t="s">
        <v>269</v>
      </c>
      <c r="F149" s="188" t="s">
        <v>269</v>
      </c>
      <c r="G149" s="157">
        <v>0.05</v>
      </c>
      <c r="H149" s="138">
        <v>0.84097222222222223</v>
      </c>
      <c r="I149" s="138">
        <v>0.89097222222222228</v>
      </c>
      <c r="J149" s="139">
        <v>9000</v>
      </c>
      <c r="K149" s="138">
        <v>0</v>
      </c>
      <c r="L149" s="138">
        <v>0</v>
      </c>
      <c r="M149" s="138">
        <v>0</v>
      </c>
      <c r="N149" s="140">
        <v>0</v>
      </c>
      <c r="O149" s="140">
        <v>0</v>
      </c>
      <c r="P149" s="140">
        <v>0</v>
      </c>
      <c r="Q149" s="140">
        <v>0</v>
      </c>
      <c r="R149" s="174">
        <v>0</v>
      </c>
      <c r="S149" s="105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3"/>
    </row>
    <row r="150" spans="2:31" ht="16.5" thickTop="1" thickBot="1" x14ac:dyDescent="0.3">
      <c r="B150" s="147"/>
      <c r="C150" s="163"/>
      <c r="D150" s="163" t="s">
        <v>271</v>
      </c>
      <c r="E150" s="162" t="s">
        <v>402</v>
      </c>
      <c r="F150" s="188" t="s">
        <v>271</v>
      </c>
      <c r="G150" s="157">
        <v>0.05</v>
      </c>
      <c r="H150" s="138">
        <v>0.84097222222222223</v>
      </c>
      <c r="I150" s="138">
        <v>0.89097222222222228</v>
      </c>
      <c r="J150" s="139">
        <v>9000</v>
      </c>
      <c r="K150" s="138">
        <v>0</v>
      </c>
      <c r="L150" s="138">
        <v>0</v>
      </c>
      <c r="M150" s="138">
        <v>0</v>
      </c>
      <c r="N150" s="140">
        <v>0</v>
      </c>
      <c r="O150" s="140">
        <v>0</v>
      </c>
      <c r="P150" s="140">
        <v>0</v>
      </c>
      <c r="Q150" s="140">
        <v>0</v>
      </c>
      <c r="R150" s="174">
        <v>0</v>
      </c>
      <c r="S150" s="105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3"/>
    </row>
    <row r="151" spans="2:31" ht="16.5" thickTop="1" thickBot="1" x14ac:dyDescent="0.3">
      <c r="B151" s="147"/>
      <c r="C151" s="163"/>
      <c r="D151" s="163"/>
      <c r="E151" s="164" t="s">
        <v>271</v>
      </c>
      <c r="F151" s="188" t="s">
        <v>271</v>
      </c>
      <c r="G151" s="157">
        <v>0.05</v>
      </c>
      <c r="H151" s="138">
        <v>0.84097222222222223</v>
      </c>
      <c r="I151" s="138">
        <v>0.89097222222222228</v>
      </c>
      <c r="J151" s="139">
        <v>9000</v>
      </c>
      <c r="K151" s="138">
        <v>0</v>
      </c>
      <c r="L151" s="138">
        <v>0</v>
      </c>
      <c r="M151" s="138">
        <v>0</v>
      </c>
      <c r="N151" s="140">
        <v>0</v>
      </c>
      <c r="O151" s="140">
        <v>0</v>
      </c>
      <c r="P151" s="140">
        <v>0</v>
      </c>
      <c r="Q151" s="140">
        <v>0</v>
      </c>
      <c r="R151" s="174">
        <v>0</v>
      </c>
      <c r="S151" s="105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3"/>
    </row>
    <row r="152" spans="2:31" ht="16.5" thickTop="1" thickBot="1" x14ac:dyDescent="0.3">
      <c r="B152" s="147"/>
      <c r="C152" s="163"/>
      <c r="D152" s="163" t="s">
        <v>272</v>
      </c>
      <c r="E152" s="162" t="s">
        <v>402</v>
      </c>
      <c r="F152" s="188" t="s">
        <v>272</v>
      </c>
      <c r="G152" s="157">
        <v>0.05</v>
      </c>
      <c r="H152" s="138">
        <v>0.84097222222222223</v>
      </c>
      <c r="I152" s="138">
        <v>0.89097222222222228</v>
      </c>
      <c r="J152" s="139">
        <v>9000</v>
      </c>
      <c r="K152" s="138">
        <v>0</v>
      </c>
      <c r="L152" s="138">
        <v>0</v>
      </c>
      <c r="M152" s="138">
        <v>0</v>
      </c>
      <c r="N152" s="140">
        <v>0</v>
      </c>
      <c r="O152" s="140">
        <v>0</v>
      </c>
      <c r="P152" s="140">
        <v>0</v>
      </c>
      <c r="Q152" s="140">
        <v>0</v>
      </c>
      <c r="R152" s="174">
        <v>0</v>
      </c>
      <c r="S152" s="105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3"/>
    </row>
    <row r="153" spans="2:31" ht="16.5" thickTop="1" thickBot="1" x14ac:dyDescent="0.3">
      <c r="B153" s="147"/>
      <c r="C153" s="163"/>
      <c r="D153" s="163"/>
      <c r="E153" s="164" t="s">
        <v>272</v>
      </c>
      <c r="F153" s="188" t="s">
        <v>272</v>
      </c>
      <c r="G153" s="157">
        <v>0.05</v>
      </c>
      <c r="H153" s="138">
        <v>0.84097222222222223</v>
      </c>
      <c r="I153" s="138">
        <v>0.89097222222222228</v>
      </c>
      <c r="J153" s="139">
        <v>9000</v>
      </c>
      <c r="K153" s="138">
        <v>0</v>
      </c>
      <c r="L153" s="138">
        <v>0</v>
      </c>
      <c r="M153" s="138">
        <v>0</v>
      </c>
      <c r="N153" s="140">
        <v>0</v>
      </c>
      <c r="O153" s="140">
        <v>0</v>
      </c>
      <c r="P153" s="140">
        <v>0</v>
      </c>
      <c r="Q153" s="140">
        <v>0</v>
      </c>
      <c r="R153" s="174">
        <v>0</v>
      </c>
      <c r="S153" s="105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3"/>
    </row>
    <row r="154" spans="2:31" ht="16.5" thickTop="1" thickBot="1" x14ac:dyDescent="0.3">
      <c r="B154" s="147"/>
      <c r="C154" s="163"/>
      <c r="D154" s="163" t="s">
        <v>267</v>
      </c>
      <c r="E154" s="162" t="s">
        <v>402</v>
      </c>
      <c r="F154" s="189" t="s">
        <v>267</v>
      </c>
      <c r="G154" s="158">
        <v>0.05</v>
      </c>
      <c r="H154" s="141">
        <v>0.84097222222222223</v>
      </c>
      <c r="I154" s="141">
        <v>0.89097222222222228</v>
      </c>
      <c r="J154" s="142">
        <v>9000</v>
      </c>
      <c r="K154" s="141">
        <v>0</v>
      </c>
      <c r="L154" s="141">
        <v>0</v>
      </c>
      <c r="M154" s="141">
        <v>0</v>
      </c>
      <c r="N154" s="143">
        <v>0</v>
      </c>
      <c r="O154" s="143">
        <v>0</v>
      </c>
      <c r="P154" s="143">
        <v>0</v>
      </c>
      <c r="Q154" s="143">
        <v>0</v>
      </c>
      <c r="R154" s="175">
        <v>0</v>
      </c>
      <c r="S154" s="105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3"/>
    </row>
    <row r="155" spans="2:31" ht="16.5" thickTop="1" thickBot="1" x14ac:dyDescent="0.3">
      <c r="B155" s="147"/>
      <c r="C155" s="163"/>
      <c r="D155" s="163"/>
      <c r="E155" s="164" t="s">
        <v>268</v>
      </c>
      <c r="F155" s="188" t="s">
        <v>268</v>
      </c>
      <c r="G155" s="157">
        <v>0.05</v>
      </c>
      <c r="H155" s="138">
        <v>0.84097222222222223</v>
      </c>
      <c r="I155" s="138">
        <v>0.89097222222222228</v>
      </c>
      <c r="J155" s="139">
        <v>9000</v>
      </c>
      <c r="K155" s="138">
        <v>0</v>
      </c>
      <c r="L155" s="138">
        <v>0</v>
      </c>
      <c r="M155" s="138">
        <v>0</v>
      </c>
      <c r="N155" s="140">
        <v>0</v>
      </c>
      <c r="O155" s="140">
        <v>0</v>
      </c>
      <c r="P155" s="140">
        <v>0</v>
      </c>
      <c r="Q155" s="140">
        <v>0</v>
      </c>
      <c r="R155" s="174">
        <v>0</v>
      </c>
      <c r="S155" s="105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3"/>
    </row>
    <row r="156" spans="2:31" ht="16.5" thickTop="1" thickBot="1" x14ac:dyDescent="0.3">
      <c r="B156" s="147"/>
      <c r="C156" s="163"/>
      <c r="D156" s="163" t="s">
        <v>273</v>
      </c>
      <c r="E156" s="162" t="s">
        <v>402</v>
      </c>
      <c r="F156" s="188" t="s">
        <v>273</v>
      </c>
      <c r="G156" s="157">
        <v>0.1</v>
      </c>
      <c r="H156" s="138">
        <v>1.6819444444444445</v>
      </c>
      <c r="I156" s="138">
        <v>1.7819444444444446</v>
      </c>
      <c r="J156" s="139">
        <v>18000</v>
      </c>
      <c r="K156" s="138">
        <v>0</v>
      </c>
      <c r="L156" s="138">
        <v>0</v>
      </c>
      <c r="M156" s="138">
        <v>0</v>
      </c>
      <c r="N156" s="140">
        <v>0</v>
      </c>
      <c r="O156" s="140">
        <v>0</v>
      </c>
      <c r="P156" s="140">
        <v>0</v>
      </c>
      <c r="Q156" s="140">
        <v>0</v>
      </c>
      <c r="R156" s="174">
        <v>0</v>
      </c>
      <c r="S156" s="105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3"/>
    </row>
    <row r="157" spans="2:31" ht="16.5" thickTop="1" thickBot="1" x14ac:dyDescent="0.3">
      <c r="B157" s="147"/>
      <c r="C157" s="163"/>
      <c r="D157" s="163"/>
      <c r="E157" s="163" t="s">
        <v>274</v>
      </c>
      <c r="F157" s="189" t="s">
        <v>274</v>
      </c>
      <c r="G157" s="158">
        <v>0.05</v>
      </c>
      <c r="H157" s="141">
        <v>0.84097222222222223</v>
      </c>
      <c r="I157" s="141">
        <v>0.89097222222222228</v>
      </c>
      <c r="J157" s="142">
        <v>9000</v>
      </c>
      <c r="K157" s="141">
        <v>0</v>
      </c>
      <c r="L157" s="141">
        <v>0</v>
      </c>
      <c r="M157" s="141">
        <v>0</v>
      </c>
      <c r="N157" s="143">
        <v>0</v>
      </c>
      <c r="O157" s="143">
        <v>0</v>
      </c>
      <c r="P157" s="143">
        <v>0</v>
      </c>
      <c r="Q157" s="143">
        <v>0</v>
      </c>
      <c r="R157" s="175">
        <v>0</v>
      </c>
      <c r="S157" s="105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3"/>
    </row>
    <row r="158" spans="2:31" ht="16.5" thickTop="1" thickBot="1" x14ac:dyDescent="0.3">
      <c r="B158" s="147"/>
      <c r="C158" s="163"/>
      <c r="D158" s="163"/>
      <c r="E158" s="164" t="s">
        <v>277</v>
      </c>
      <c r="F158" s="189" t="s">
        <v>277</v>
      </c>
      <c r="G158" s="158">
        <v>0.05</v>
      </c>
      <c r="H158" s="141">
        <v>0.84097222222222223</v>
      </c>
      <c r="I158" s="141">
        <v>0.89097222222222228</v>
      </c>
      <c r="J158" s="142">
        <v>9000</v>
      </c>
      <c r="K158" s="141">
        <v>0</v>
      </c>
      <c r="L158" s="141">
        <v>0</v>
      </c>
      <c r="M158" s="141">
        <v>0</v>
      </c>
      <c r="N158" s="143">
        <v>0</v>
      </c>
      <c r="O158" s="143">
        <v>0</v>
      </c>
      <c r="P158" s="143">
        <v>0</v>
      </c>
      <c r="Q158" s="143">
        <v>0</v>
      </c>
      <c r="R158" s="175">
        <v>0</v>
      </c>
      <c r="S158" s="105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3"/>
    </row>
    <row r="159" spans="2:31" ht="16.5" thickTop="1" thickBot="1" x14ac:dyDescent="0.3">
      <c r="B159" s="147"/>
      <c r="C159" s="163"/>
      <c r="D159" s="163" t="s">
        <v>134</v>
      </c>
      <c r="E159" s="162" t="s">
        <v>402</v>
      </c>
      <c r="F159" s="188" t="s">
        <v>134</v>
      </c>
      <c r="G159" s="157">
        <v>0.05</v>
      </c>
      <c r="H159" s="138">
        <v>0.84097222222222223</v>
      </c>
      <c r="I159" s="138">
        <v>0.89097222222222228</v>
      </c>
      <c r="J159" s="139">
        <v>9000</v>
      </c>
      <c r="K159" s="138">
        <v>0</v>
      </c>
      <c r="L159" s="138">
        <v>0</v>
      </c>
      <c r="M159" s="138">
        <v>0</v>
      </c>
      <c r="N159" s="140">
        <v>0</v>
      </c>
      <c r="O159" s="140">
        <v>0</v>
      </c>
      <c r="P159" s="140">
        <v>0</v>
      </c>
      <c r="Q159" s="140">
        <v>0</v>
      </c>
      <c r="R159" s="174">
        <v>0</v>
      </c>
      <c r="S159" s="105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3"/>
    </row>
    <row r="160" spans="2:31" ht="16.5" thickTop="1" thickBot="1" x14ac:dyDescent="0.3">
      <c r="B160" s="148"/>
      <c r="C160" s="164"/>
      <c r="D160" s="164"/>
      <c r="E160" s="164" t="s">
        <v>134</v>
      </c>
      <c r="F160" s="188" t="s">
        <v>134</v>
      </c>
      <c r="G160" s="160">
        <v>0.05</v>
      </c>
      <c r="H160" s="149">
        <v>0.84097222222222223</v>
      </c>
      <c r="I160" s="149">
        <v>0.89097222222222228</v>
      </c>
      <c r="J160" s="150">
        <v>9000</v>
      </c>
      <c r="K160" s="149">
        <v>0</v>
      </c>
      <c r="L160" s="149">
        <v>0</v>
      </c>
      <c r="M160" s="149">
        <v>0</v>
      </c>
      <c r="N160" s="151">
        <v>0</v>
      </c>
      <c r="O160" s="151">
        <v>0</v>
      </c>
      <c r="P160" s="151">
        <v>0</v>
      </c>
      <c r="Q160" s="151">
        <v>0</v>
      </c>
      <c r="R160" s="177">
        <v>0</v>
      </c>
      <c r="S160" s="107"/>
      <c r="T160" s="66"/>
      <c r="U160" s="66"/>
      <c r="V160" s="66"/>
      <c r="W160" s="66"/>
      <c r="X160" s="66"/>
      <c r="Y160" s="66"/>
      <c r="Z160" s="66"/>
      <c r="AA160" s="66"/>
      <c r="AB160" s="66"/>
      <c r="AC160" s="66"/>
      <c r="AD160" s="66"/>
      <c r="AE160" s="67"/>
    </row>
    <row r="161" ht="15.75" thickTop="1" x14ac:dyDescent="0.25"/>
  </sheetData>
  <mergeCells count="31">
    <mergeCell ref="B4:B6"/>
    <mergeCell ref="X5:X6"/>
    <mergeCell ref="Y5:Y6"/>
    <mergeCell ref="Z5:Z6"/>
    <mergeCell ref="AA5:AB5"/>
    <mergeCell ref="AC5:AD5"/>
    <mergeCell ref="K2:W2"/>
    <mergeCell ref="AB2:AE2"/>
    <mergeCell ref="S4:V4"/>
    <mergeCell ref="W4:X4"/>
    <mergeCell ref="Y4:Z4"/>
    <mergeCell ref="AA4:AD4"/>
    <mergeCell ref="AE4:AE6"/>
    <mergeCell ref="G5:I5"/>
    <mergeCell ref="M5:M6"/>
    <mergeCell ref="N5:N6"/>
    <mergeCell ref="O5:O6"/>
    <mergeCell ref="W5:W6"/>
    <mergeCell ref="F4:F6"/>
    <mergeCell ref="G4:J4"/>
    <mergeCell ref="K4:M4"/>
    <mergeCell ref="N4:P4"/>
    <mergeCell ref="Q4:Q6"/>
    <mergeCell ref="R4:R6"/>
    <mergeCell ref="L5:L6"/>
    <mergeCell ref="P5:P6"/>
    <mergeCell ref="S5:T5"/>
    <mergeCell ref="U5:V5"/>
    <mergeCell ref="J5:J6"/>
    <mergeCell ref="K5:K6"/>
    <mergeCell ref="F2:J2"/>
  </mergeCells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34"/>
  <sheetViews>
    <sheetView tabSelected="1" workbookViewId="0">
      <selection activeCell="O17" sqref="O17"/>
    </sheetView>
  </sheetViews>
  <sheetFormatPr defaultRowHeight="15" x14ac:dyDescent="0.25"/>
  <cols>
    <col min="1" max="1" width="9.7109375" bestFit="1" customWidth="1"/>
    <col min="2" max="2" width="9.7109375" customWidth="1"/>
    <col min="3" max="5" width="14.42578125" customWidth="1"/>
    <col min="6" max="6" width="12.28515625" customWidth="1"/>
    <col min="7" max="7" width="9" customWidth="1"/>
    <col min="8" max="9" width="12" customWidth="1"/>
    <col min="10" max="10" width="14.42578125" customWidth="1"/>
    <col min="11" max="11" width="12" customWidth="1"/>
    <col min="12" max="12" width="10.5703125" customWidth="1"/>
    <col min="13" max="13" width="16.42578125" customWidth="1"/>
    <col min="14" max="14" width="12.42578125" customWidth="1"/>
    <col min="15" max="15" width="15.7109375" customWidth="1"/>
    <col min="16" max="16" width="10.7109375" customWidth="1"/>
    <col min="17" max="17" width="13.7109375" customWidth="1"/>
    <col min="18" max="19" width="11.7109375" customWidth="1"/>
    <col min="20" max="20" width="11.7109375" bestFit="1" customWidth="1"/>
  </cols>
  <sheetData>
    <row r="1" spans="1:22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</row>
    <row r="2" spans="1:22" x14ac:dyDescent="0.25">
      <c r="A2" s="43"/>
      <c r="B2" s="43" t="s">
        <v>141</v>
      </c>
      <c r="C2" s="43" t="s">
        <v>226</v>
      </c>
      <c r="D2" s="43" t="s">
        <v>276</v>
      </c>
      <c r="E2" s="43" t="s">
        <v>391</v>
      </c>
      <c r="F2" s="43" t="s">
        <v>362</v>
      </c>
      <c r="G2" s="43" t="s">
        <v>360</v>
      </c>
      <c r="H2" s="43" t="s">
        <v>359</v>
      </c>
      <c r="I2" s="43" t="s">
        <v>377</v>
      </c>
      <c r="J2" s="43" t="s">
        <v>379</v>
      </c>
      <c r="K2" s="43" t="s">
        <v>361</v>
      </c>
      <c r="L2" s="43" t="s">
        <v>389</v>
      </c>
      <c r="M2" s="43" t="s">
        <v>390</v>
      </c>
      <c r="N2" s="43" t="s">
        <v>16</v>
      </c>
      <c r="O2" s="43" t="s">
        <v>378</v>
      </c>
      <c r="P2" s="43" t="s">
        <v>446</v>
      </c>
      <c r="Q2" s="43" t="s">
        <v>447</v>
      </c>
      <c r="R2" s="43" t="s">
        <v>448</v>
      </c>
      <c r="S2" s="43" t="s">
        <v>449</v>
      </c>
    </row>
    <row r="3" spans="1:22" x14ac:dyDescent="0.25">
      <c r="A3" s="43"/>
      <c r="B3" s="43" t="s">
        <v>166</v>
      </c>
      <c r="C3" s="43" t="s">
        <v>364</v>
      </c>
      <c r="D3" s="47" t="s">
        <v>364</v>
      </c>
      <c r="E3" s="43" t="s">
        <v>166</v>
      </c>
      <c r="F3" s="87">
        <v>81000</v>
      </c>
      <c r="G3" s="43">
        <v>0.45</v>
      </c>
      <c r="H3" s="43">
        <v>7.5687499999999996</v>
      </c>
      <c r="I3" s="43">
        <v>0</v>
      </c>
      <c r="J3" s="43">
        <v>0</v>
      </c>
      <c r="K3" s="43">
        <v>8.0187500000000007</v>
      </c>
      <c r="L3" s="87">
        <v>0</v>
      </c>
      <c r="M3" s="87">
        <v>0</v>
      </c>
      <c r="N3" s="87">
        <v>0</v>
      </c>
      <c r="O3" s="43">
        <v>0</v>
      </c>
      <c r="P3" s="43">
        <v>0</v>
      </c>
      <c r="Q3" s="43">
        <v>0</v>
      </c>
      <c r="R3" s="87"/>
      <c r="S3" s="87"/>
    </row>
    <row r="4" spans="1:22" x14ac:dyDescent="0.25">
      <c r="A4" s="43"/>
      <c r="B4" s="43" t="s">
        <v>166</v>
      </c>
      <c r="C4" s="43" t="s">
        <v>272</v>
      </c>
      <c r="D4" s="47" t="s">
        <v>402</v>
      </c>
      <c r="E4" s="43" t="s">
        <v>272</v>
      </c>
      <c r="F4" s="87">
        <v>9000</v>
      </c>
      <c r="G4" s="43">
        <v>0.05</v>
      </c>
      <c r="H4" s="43">
        <v>0.84097222222222223</v>
      </c>
      <c r="I4" s="43">
        <v>0</v>
      </c>
      <c r="J4" s="43">
        <v>0</v>
      </c>
      <c r="K4" s="43">
        <v>0.89097222222222228</v>
      </c>
      <c r="L4" s="87">
        <v>0</v>
      </c>
      <c r="M4" s="87">
        <v>0</v>
      </c>
      <c r="N4" s="87">
        <v>0</v>
      </c>
      <c r="O4" s="43">
        <v>0</v>
      </c>
      <c r="P4" s="43">
        <v>0</v>
      </c>
      <c r="Q4" s="43">
        <v>0</v>
      </c>
      <c r="R4" s="87"/>
      <c r="S4" s="87"/>
    </row>
    <row r="5" spans="1:22" x14ac:dyDescent="0.25">
      <c r="A5" s="43"/>
      <c r="B5" s="43" t="s">
        <v>166</v>
      </c>
      <c r="C5" s="43" t="s">
        <v>272</v>
      </c>
      <c r="D5" s="47" t="s">
        <v>272</v>
      </c>
      <c r="E5" s="43" t="s">
        <v>272</v>
      </c>
      <c r="F5" s="87">
        <v>9000</v>
      </c>
      <c r="G5" s="43">
        <v>0.05</v>
      </c>
      <c r="H5" s="43">
        <v>0.84097222222222223</v>
      </c>
      <c r="I5" s="43">
        <v>0</v>
      </c>
      <c r="J5" s="43">
        <v>0</v>
      </c>
      <c r="K5" s="43">
        <v>0.89097222222222228</v>
      </c>
      <c r="L5" s="87">
        <v>0</v>
      </c>
      <c r="M5" s="87">
        <v>0</v>
      </c>
      <c r="N5" s="87">
        <v>0</v>
      </c>
      <c r="O5" s="43">
        <v>0</v>
      </c>
      <c r="P5" s="43">
        <v>0</v>
      </c>
      <c r="Q5" s="43">
        <v>0</v>
      </c>
      <c r="R5" s="87"/>
      <c r="S5" s="87"/>
    </row>
    <row r="6" spans="1:22" x14ac:dyDescent="0.25">
      <c r="A6" s="43"/>
      <c r="B6" s="43" t="s">
        <v>166</v>
      </c>
      <c r="C6" s="43" t="s">
        <v>273</v>
      </c>
      <c r="D6" s="47" t="s">
        <v>402</v>
      </c>
      <c r="E6" s="43" t="s">
        <v>273</v>
      </c>
      <c r="F6" s="87">
        <v>18000</v>
      </c>
      <c r="G6" s="43">
        <v>0.1</v>
      </c>
      <c r="H6" s="43">
        <v>1.6819444444444445</v>
      </c>
      <c r="I6" s="43">
        <v>0</v>
      </c>
      <c r="J6" s="43">
        <v>0</v>
      </c>
      <c r="K6" s="43">
        <v>1.7819444444444446</v>
      </c>
      <c r="L6" s="87">
        <v>0</v>
      </c>
      <c r="M6" s="87">
        <v>0</v>
      </c>
      <c r="N6" s="87">
        <v>0</v>
      </c>
      <c r="O6" s="43">
        <v>0</v>
      </c>
      <c r="P6" s="43">
        <v>0</v>
      </c>
      <c r="Q6" s="43">
        <v>0</v>
      </c>
      <c r="R6" s="87"/>
      <c r="S6" s="87"/>
    </row>
    <row r="7" spans="1:22" x14ac:dyDescent="0.25">
      <c r="A7" s="43"/>
      <c r="B7" s="43" t="s">
        <v>166</v>
      </c>
      <c r="C7" s="43" t="s">
        <v>273</v>
      </c>
      <c r="D7" s="47" t="s">
        <v>274</v>
      </c>
      <c r="E7" s="43" t="s">
        <v>274</v>
      </c>
      <c r="F7" s="87">
        <v>9000</v>
      </c>
      <c r="G7" s="43">
        <v>0.05</v>
      </c>
      <c r="H7" s="43">
        <v>0.84097222222222223</v>
      </c>
      <c r="I7" s="43">
        <v>0</v>
      </c>
      <c r="J7" s="43">
        <v>0</v>
      </c>
      <c r="K7" s="43">
        <v>0.89097222222222228</v>
      </c>
      <c r="L7" s="87">
        <v>0</v>
      </c>
      <c r="M7" s="87">
        <v>0</v>
      </c>
      <c r="N7" s="87">
        <v>0</v>
      </c>
      <c r="O7" s="43">
        <v>0</v>
      </c>
      <c r="P7" s="43">
        <v>0</v>
      </c>
      <c r="Q7" s="43">
        <v>0</v>
      </c>
      <c r="R7" s="87"/>
      <c r="S7" s="87"/>
      <c r="V7" s="47"/>
    </row>
    <row r="8" spans="1:22" x14ac:dyDescent="0.25">
      <c r="A8" s="43"/>
      <c r="B8" s="43" t="s">
        <v>166</v>
      </c>
      <c r="C8" s="43" t="s">
        <v>273</v>
      </c>
      <c r="D8" s="47" t="s">
        <v>277</v>
      </c>
      <c r="E8" s="43" t="s">
        <v>277</v>
      </c>
      <c r="F8" s="87">
        <v>9000</v>
      </c>
      <c r="G8" s="43">
        <v>0.05</v>
      </c>
      <c r="H8" s="43">
        <v>0.84097222222222223</v>
      </c>
      <c r="I8" s="43">
        <v>0</v>
      </c>
      <c r="J8" s="43">
        <v>0</v>
      </c>
      <c r="K8" s="43">
        <v>0.89097222222222228</v>
      </c>
      <c r="L8" s="87">
        <v>0</v>
      </c>
      <c r="M8" s="87">
        <v>0</v>
      </c>
      <c r="N8" s="87">
        <v>0</v>
      </c>
      <c r="O8" s="43">
        <v>0</v>
      </c>
      <c r="P8" s="43">
        <v>0</v>
      </c>
      <c r="Q8" s="43">
        <v>0</v>
      </c>
      <c r="R8" s="87"/>
      <c r="S8" s="87"/>
      <c r="V8" s="47"/>
    </row>
    <row r="9" spans="1:22" x14ac:dyDescent="0.25">
      <c r="A9" s="43"/>
      <c r="B9" s="43" t="s">
        <v>166</v>
      </c>
      <c r="C9" s="43" t="s">
        <v>267</v>
      </c>
      <c r="D9" s="47" t="s">
        <v>402</v>
      </c>
      <c r="E9" s="43" t="s">
        <v>267</v>
      </c>
      <c r="F9" s="87">
        <v>9000</v>
      </c>
      <c r="G9" s="43">
        <v>0.05</v>
      </c>
      <c r="H9" s="43">
        <v>0.84097222222222223</v>
      </c>
      <c r="I9" s="43">
        <v>0</v>
      </c>
      <c r="J9" s="43">
        <v>0</v>
      </c>
      <c r="K9" s="43">
        <v>0.89097222222222228</v>
      </c>
      <c r="L9" s="87">
        <v>0</v>
      </c>
      <c r="M9" s="87">
        <v>0</v>
      </c>
      <c r="N9" s="87">
        <v>0</v>
      </c>
      <c r="O9" s="43">
        <v>0</v>
      </c>
      <c r="P9" s="43">
        <v>0</v>
      </c>
      <c r="Q9" s="43">
        <v>0</v>
      </c>
      <c r="R9" s="87"/>
      <c r="S9" s="87"/>
    </row>
    <row r="10" spans="1:22" x14ac:dyDescent="0.25">
      <c r="A10" s="43"/>
      <c r="B10" s="43" t="s">
        <v>166</v>
      </c>
      <c r="C10" s="43" t="s">
        <v>267</v>
      </c>
      <c r="D10" s="47" t="s">
        <v>268</v>
      </c>
      <c r="E10" s="43" t="s">
        <v>268</v>
      </c>
      <c r="F10" s="87">
        <v>9000</v>
      </c>
      <c r="G10" s="43">
        <v>0.05</v>
      </c>
      <c r="H10" s="43">
        <v>0.84097222222222223</v>
      </c>
      <c r="I10" s="43">
        <v>0</v>
      </c>
      <c r="J10" s="43">
        <v>0</v>
      </c>
      <c r="K10" s="43">
        <v>0.89097222222222228</v>
      </c>
      <c r="L10" s="87">
        <v>0</v>
      </c>
      <c r="M10" s="87">
        <v>0</v>
      </c>
      <c r="N10" s="87">
        <v>0</v>
      </c>
      <c r="O10" s="43">
        <v>0</v>
      </c>
      <c r="P10" s="43">
        <v>0</v>
      </c>
      <c r="Q10" s="43">
        <v>0</v>
      </c>
      <c r="R10" s="87"/>
      <c r="S10" s="87"/>
    </row>
    <row r="11" spans="1:22" x14ac:dyDescent="0.25">
      <c r="A11" s="43"/>
      <c r="B11" s="43" t="s">
        <v>166</v>
      </c>
      <c r="C11" s="43" t="s">
        <v>269</v>
      </c>
      <c r="D11" s="47" t="s">
        <v>402</v>
      </c>
      <c r="E11" s="43" t="s">
        <v>269</v>
      </c>
      <c r="F11" s="87">
        <v>9000</v>
      </c>
      <c r="G11" s="43">
        <v>0.05</v>
      </c>
      <c r="H11" s="43">
        <v>0.84097222222222223</v>
      </c>
      <c r="I11" s="43">
        <v>0</v>
      </c>
      <c r="J11" s="43">
        <v>0</v>
      </c>
      <c r="K11" s="43">
        <v>0.89097222222222228</v>
      </c>
      <c r="L11" s="87">
        <v>0</v>
      </c>
      <c r="M11" s="87">
        <v>0</v>
      </c>
      <c r="N11" s="87">
        <v>0</v>
      </c>
      <c r="O11" s="43">
        <v>0</v>
      </c>
      <c r="P11" s="43">
        <v>0</v>
      </c>
      <c r="Q11" s="43">
        <v>0</v>
      </c>
      <c r="R11" s="87"/>
      <c r="S11" s="87"/>
    </row>
    <row r="12" spans="1:22" x14ac:dyDescent="0.25">
      <c r="A12" s="43"/>
      <c r="B12" s="43" t="s">
        <v>166</v>
      </c>
      <c r="C12" s="43" t="s">
        <v>269</v>
      </c>
      <c r="D12" s="47" t="s">
        <v>269</v>
      </c>
      <c r="E12" s="43" t="s">
        <v>269</v>
      </c>
      <c r="F12" s="87">
        <v>9000</v>
      </c>
      <c r="G12" s="43">
        <v>0.05</v>
      </c>
      <c r="H12" s="43">
        <v>0.84097222222222223</v>
      </c>
      <c r="I12" s="43">
        <v>0</v>
      </c>
      <c r="J12" s="43">
        <v>0</v>
      </c>
      <c r="K12" s="43">
        <v>0.89097222222222228</v>
      </c>
      <c r="L12" s="87">
        <v>0</v>
      </c>
      <c r="M12" s="87">
        <v>0</v>
      </c>
      <c r="N12" s="87">
        <v>0</v>
      </c>
      <c r="O12" s="43">
        <v>0</v>
      </c>
      <c r="P12" s="43">
        <v>0</v>
      </c>
      <c r="Q12" s="43">
        <v>0</v>
      </c>
      <c r="R12" s="87"/>
      <c r="S12" s="87"/>
    </row>
    <row r="13" spans="1:22" x14ac:dyDescent="0.25">
      <c r="A13" s="43"/>
      <c r="B13" s="43" t="s">
        <v>166</v>
      </c>
      <c r="C13" s="43" t="s">
        <v>270</v>
      </c>
      <c r="D13" s="47" t="s">
        <v>402</v>
      </c>
      <c r="E13" s="43" t="s">
        <v>270</v>
      </c>
      <c r="F13" s="87">
        <v>18000</v>
      </c>
      <c r="G13" s="43">
        <v>0.1</v>
      </c>
      <c r="H13" s="43">
        <v>1.6819444444444445</v>
      </c>
      <c r="I13" s="43">
        <v>0</v>
      </c>
      <c r="J13" s="43">
        <v>0</v>
      </c>
      <c r="K13" s="43">
        <v>1.7819444444444446</v>
      </c>
      <c r="L13" s="87">
        <v>0</v>
      </c>
      <c r="M13" s="87">
        <v>0</v>
      </c>
      <c r="N13" s="87">
        <v>0</v>
      </c>
      <c r="O13" s="43">
        <v>0</v>
      </c>
      <c r="P13" s="43">
        <v>0</v>
      </c>
      <c r="Q13" s="43">
        <v>0</v>
      </c>
      <c r="R13" s="87"/>
      <c r="S13" s="87"/>
    </row>
    <row r="14" spans="1:22" x14ac:dyDescent="0.25">
      <c r="A14" s="43"/>
      <c r="B14" s="43" t="s">
        <v>166</v>
      </c>
      <c r="C14" s="43" t="s">
        <v>270</v>
      </c>
      <c r="D14" s="47" t="s">
        <v>275</v>
      </c>
      <c r="E14" s="43" t="s">
        <v>275</v>
      </c>
      <c r="F14" s="87">
        <v>9000</v>
      </c>
      <c r="G14" s="43">
        <v>0.05</v>
      </c>
      <c r="H14" s="43">
        <v>0.84097222222222223</v>
      </c>
      <c r="I14" s="43">
        <v>0</v>
      </c>
      <c r="J14" s="43">
        <v>0</v>
      </c>
      <c r="K14" s="43">
        <v>0.89097222222222228</v>
      </c>
      <c r="L14" s="87">
        <v>0</v>
      </c>
      <c r="M14" s="87">
        <v>0</v>
      </c>
      <c r="N14" s="87">
        <v>0</v>
      </c>
      <c r="O14" s="43">
        <v>0</v>
      </c>
      <c r="P14" s="43">
        <v>0</v>
      </c>
      <c r="Q14" s="43">
        <v>0</v>
      </c>
      <c r="R14" s="87"/>
      <c r="S14" s="87"/>
    </row>
    <row r="15" spans="1:22" x14ac:dyDescent="0.25">
      <c r="A15" s="43"/>
      <c r="B15" s="43" t="s">
        <v>166</v>
      </c>
      <c r="C15" s="43" t="s">
        <v>270</v>
      </c>
      <c r="D15" s="47" t="s">
        <v>278</v>
      </c>
      <c r="E15" s="43" t="s">
        <v>278</v>
      </c>
      <c r="F15" s="87">
        <v>9000</v>
      </c>
      <c r="G15" s="43">
        <v>0.05</v>
      </c>
      <c r="H15" s="43">
        <v>0.84097222222222223</v>
      </c>
      <c r="I15" s="43">
        <v>0</v>
      </c>
      <c r="J15" s="43">
        <v>0</v>
      </c>
      <c r="K15" s="43">
        <v>0.89097222222222228</v>
      </c>
      <c r="L15" s="87">
        <v>0</v>
      </c>
      <c r="M15" s="87">
        <v>0</v>
      </c>
      <c r="N15" s="87">
        <v>0</v>
      </c>
      <c r="O15" s="43">
        <v>0</v>
      </c>
      <c r="P15" s="43">
        <v>0</v>
      </c>
      <c r="Q15" s="43">
        <v>0</v>
      </c>
      <c r="R15" s="87"/>
      <c r="S15" s="87"/>
      <c r="V15" s="47"/>
    </row>
    <row r="16" spans="1:22" x14ac:dyDescent="0.25">
      <c r="A16" s="43"/>
      <c r="B16" s="43" t="s">
        <v>166</v>
      </c>
      <c r="C16" s="43" t="s">
        <v>271</v>
      </c>
      <c r="D16" s="47" t="s">
        <v>402</v>
      </c>
      <c r="E16" s="43" t="s">
        <v>271</v>
      </c>
      <c r="F16" s="87">
        <v>9000</v>
      </c>
      <c r="G16" s="43">
        <v>0.05</v>
      </c>
      <c r="H16" s="43">
        <v>0.84097222222222223</v>
      </c>
      <c r="I16" s="43">
        <v>0</v>
      </c>
      <c r="J16" s="43">
        <v>0</v>
      </c>
      <c r="K16" s="43">
        <v>0.89097222222222228</v>
      </c>
      <c r="L16" s="87">
        <v>0</v>
      </c>
      <c r="M16" s="87">
        <v>0</v>
      </c>
      <c r="N16" s="87">
        <v>0</v>
      </c>
      <c r="O16" s="43">
        <v>0</v>
      </c>
      <c r="P16" s="43">
        <v>0</v>
      </c>
      <c r="Q16" s="43">
        <v>0</v>
      </c>
      <c r="R16" s="87"/>
      <c r="S16" s="87"/>
    </row>
    <row r="17" spans="1:19" x14ac:dyDescent="0.25">
      <c r="A17" s="43"/>
      <c r="B17" s="43" t="s">
        <v>166</v>
      </c>
      <c r="C17" s="43" t="s">
        <v>271</v>
      </c>
      <c r="D17" s="47" t="s">
        <v>271</v>
      </c>
      <c r="E17" s="43" t="s">
        <v>271</v>
      </c>
      <c r="F17" s="87">
        <v>9000</v>
      </c>
      <c r="G17" s="43">
        <v>0.05</v>
      </c>
      <c r="H17" s="43">
        <v>0.84097222222222223</v>
      </c>
      <c r="I17" s="43">
        <v>0</v>
      </c>
      <c r="J17" s="43">
        <v>0</v>
      </c>
      <c r="K17" s="43">
        <v>0.89097222222222228</v>
      </c>
      <c r="L17" s="87">
        <v>0</v>
      </c>
      <c r="M17" s="87">
        <v>0</v>
      </c>
      <c r="N17" s="87">
        <v>0</v>
      </c>
      <c r="O17" s="43">
        <v>0</v>
      </c>
      <c r="P17" s="43">
        <v>0</v>
      </c>
      <c r="Q17" s="43">
        <v>0</v>
      </c>
      <c r="R17" s="87"/>
      <c r="S17" s="87"/>
    </row>
    <row r="18" spans="1:19" x14ac:dyDescent="0.25">
      <c r="A18" s="43"/>
      <c r="B18" s="43" t="s">
        <v>166</v>
      </c>
      <c r="C18" s="43" t="s">
        <v>134</v>
      </c>
      <c r="D18" s="47" t="s">
        <v>402</v>
      </c>
      <c r="E18" s="43" t="s">
        <v>134</v>
      </c>
      <c r="F18" s="87">
        <v>9000</v>
      </c>
      <c r="G18" s="43">
        <v>0.05</v>
      </c>
      <c r="H18" s="43">
        <v>0.84097222222222223</v>
      </c>
      <c r="I18" s="43">
        <v>0</v>
      </c>
      <c r="J18" s="43">
        <v>0</v>
      </c>
      <c r="K18" s="43">
        <v>0.89097222222222228</v>
      </c>
      <c r="L18" s="87">
        <v>0</v>
      </c>
      <c r="M18" s="87">
        <v>0</v>
      </c>
      <c r="N18" s="87">
        <v>0</v>
      </c>
      <c r="O18" s="43">
        <v>0</v>
      </c>
      <c r="P18" s="43">
        <v>0</v>
      </c>
      <c r="Q18" s="43">
        <v>0</v>
      </c>
      <c r="R18" s="87"/>
      <c r="S18" s="87"/>
    </row>
    <row r="19" spans="1:19" x14ac:dyDescent="0.25">
      <c r="A19" s="43"/>
      <c r="B19" s="43" t="s">
        <v>166</v>
      </c>
      <c r="C19" s="43" t="s">
        <v>134</v>
      </c>
      <c r="D19" s="47" t="s">
        <v>134</v>
      </c>
      <c r="E19" s="43" t="s">
        <v>134</v>
      </c>
      <c r="F19" s="87">
        <v>9000</v>
      </c>
      <c r="G19" s="43">
        <v>0.05</v>
      </c>
      <c r="H19" s="43">
        <v>0.84097222222222223</v>
      </c>
      <c r="I19" s="43">
        <v>0</v>
      </c>
      <c r="J19" s="43">
        <v>0</v>
      </c>
      <c r="K19" s="43">
        <v>0.89097222222222228</v>
      </c>
      <c r="L19" s="87">
        <v>0</v>
      </c>
      <c r="M19" s="87">
        <v>0</v>
      </c>
      <c r="N19" s="87">
        <v>0</v>
      </c>
      <c r="O19" s="43">
        <v>0</v>
      </c>
      <c r="P19" s="43">
        <v>0</v>
      </c>
      <c r="Q19" s="43">
        <v>0</v>
      </c>
      <c r="R19" s="87"/>
      <c r="S19" s="87"/>
    </row>
    <row r="20" spans="1:19" x14ac:dyDescent="0.25">
      <c r="A20" s="43"/>
      <c r="B20" s="43" t="s">
        <v>168</v>
      </c>
      <c r="C20" s="43" t="s">
        <v>364</v>
      </c>
      <c r="D20" s="47" t="s">
        <v>364</v>
      </c>
      <c r="E20" s="43" t="s">
        <v>168</v>
      </c>
      <c r="F20" s="87">
        <v>81000</v>
      </c>
      <c r="G20" s="43">
        <v>0.45</v>
      </c>
      <c r="H20" s="43">
        <v>7.5687499999999996</v>
      </c>
      <c r="I20" s="43">
        <v>0</v>
      </c>
      <c r="J20" s="43">
        <v>0</v>
      </c>
      <c r="K20" s="43">
        <v>8.0187500000000007</v>
      </c>
      <c r="L20" s="87">
        <v>0</v>
      </c>
      <c r="M20" s="87">
        <v>0</v>
      </c>
      <c r="N20" s="87">
        <v>0</v>
      </c>
      <c r="O20" s="43">
        <v>0</v>
      </c>
      <c r="P20" s="43">
        <v>0</v>
      </c>
      <c r="Q20" s="43">
        <v>0</v>
      </c>
      <c r="R20" s="87"/>
      <c r="S20" s="87"/>
    </row>
    <row r="21" spans="1:19" x14ac:dyDescent="0.25">
      <c r="A21" s="43"/>
      <c r="B21" s="43" t="s">
        <v>168</v>
      </c>
      <c r="C21" s="43" t="s">
        <v>273</v>
      </c>
      <c r="D21" s="47" t="s">
        <v>402</v>
      </c>
      <c r="E21" s="43" t="s">
        <v>273</v>
      </c>
      <c r="F21" s="87">
        <v>18000</v>
      </c>
      <c r="G21" s="43">
        <v>0.1</v>
      </c>
      <c r="H21" s="43">
        <v>1.6819444444444445</v>
      </c>
      <c r="I21" s="43">
        <v>0</v>
      </c>
      <c r="J21" s="43">
        <v>0</v>
      </c>
      <c r="K21" s="43">
        <v>1.7819444444444446</v>
      </c>
      <c r="L21" s="87">
        <v>0</v>
      </c>
      <c r="M21" s="87">
        <v>0</v>
      </c>
      <c r="N21" s="87">
        <v>0</v>
      </c>
      <c r="O21" s="43">
        <v>0</v>
      </c>
      <c r="P21" s="43">
        <v>0</v>
      </c>
      <c r="Q21" s="43">
        <v>0</v>
      </c>
      <c r="R21" s="87"/>
      <c r="S21" s="87"/>
    </row>
    <row r="22" spans="1:19" x14ac:dyDescent="0.25">
      <c r="A22" s="43"/>
      <c r="B22" s="43" t="s">
        <v>168</v>
      </c>
      <c r="C22" s="43" t="s">
        <v>273</v>
      </c>
      <c r="D22" s="47" t="s">
        <v>274</v>
      </c>
      <c r="E22" s="43" t="s">
        <v>274</v>
      </c>
      <c r="F22" s="87">
        <v>9000</v>
      </c>
      <c r="G22" s="43">
        <v>0.05</v>
      </c>
      <c r="H22" s="43">
        <v>0.84097222222222223</v>
      </c>
      <c r="I22" s="43">
        <v>0</v>
      </c>
      <c r="J22" s="43">
        <v>0</v>
      </c>
      <c r="K22" s="43">
        <v>0.89097222222222228</v>
      </c>
      <c r="L22" s="87">
        <v>0</v>
      </c>
      <c r="M22" s="87">
        <v>0</v>
      </c>
      <c r="N22" s="87">
        <v>0</v>
      </c>
      <c r="O22" s="43">
        <v>0</v>
      </c>
      <c r="P22" s="43">
        <v>0</v>
      </c>
      <c r="Q22" s="43">
        <v>0</v>
      </c>
      <c r="R22" s="87"/>
      <c r="S22" s="87"/>
    </row>
    <row r="23" spans="1:19" x14ac:dyDescent="0.25">
      <c r="A23" s="43"/>
      <c r="B23" s="43" t="s">
        <v>168</v>
      </c>
      <c r="C23" s="43" t="s">
        <v>273</v>
      </c>
      <c r="D23" s="47" t="s">
        <v>277</v>
      </c>
      <c r="E23" s="43" t="s">
        <v>277</v>
      </c>
      <c r="F23" s="87">
        <v>9000</v>
      </c>
      <c r="G23" s="43">
        <v>0.05</v>
      </c>
      <c r="H23" s="43">
        <v>0.84097222222222223</v>
      </c>
      <c r="I23" s="43">
        <v>0</v>
      </c>
      <c r="J23" s="43">
        <v>0</v>
      </c>
      <c r="K23" s="43">
        <v>0.89097222222222228</v>
      </c>
      <c r="L23" s="87">
        <v>0</v>
      </c>
      <c r="M23" s="87">
        <v>0</v>
      </c>
      <c r="N23" s="87">
        <v>0</v>
      </c>
      <c r="O23" s="43">
        <v>0</v>
      </c>
      <c r="P23" s="43">
        <v>0</v>
      </c>
      <c r="Q23" s="43">
        <v>0</v>
      </c>
      <c r="R23" s="87"/>
      <c r="S23" s="87"/>
    </row>
    <row r="24" spans="1:19" x14ac:dyDescent="0.25">
      <c r="A24" s="43"/>
      <c r="B24" s="43" t="s">
        <v>168</v>
      </c>
      <c r="C24" s="43" t="s">
        <v>134</v>
      </c>
      <c r="D24" s="47" t="s">
        <v>402</v>
      </c>
      <c r="E24" s="43" t="s">
        <v>134</v>
      </c>
      <c r="F24" s="87">
        <v>9000</v>
      </c>
      <c r="G24" s="43">
        <v>0.05</v>
      </c>
      <c r="H24" s="43">
        <v>0.84097222222222223</v>
      </c>
      <c r="I24" s="43">
        <v>0</v>
      </c>
      <c r="J24" s="43">
        <v>0</v>
      </c>
      <c r="K24" s="43">
        <v>0.89097222222222228</v>
      </c>
      <c r="L24" s="87">
        <v>0</v>
      </c>
      <c r="M24" s="87">
        <v>0</v>
      </c>
      <c r="N24" s="87">
        <v>0</v>
      </c>
      <c r="O24" s="43">
        <v>0</v>
      </c>
      <c r="P24" s="43">
        <v>0</v>
      </c>
      <c r="Q24" s="43">
        <v>0</v>
      </c>
      <c r="R24" s="87"/>
      <c r="S24" s="87"/>
    </row>
    <row r="25" spans="1:19" x14ac:dyDescent="0.25">
      <c r="A25" s="43"/>
      <c r="B25" s="43" t="s">
        <v>168</v>
      </c>
      <c r="C25" s="43" t="s">
        <v>134</v>
      </c>
      <c r="D25" s="47" t="s">
        <v>134</v>
      </c>
      <c r="E25" s="43" t="s">
        <v>134</v>
      </c>
      <c r="F25" s="87">
        <v>9000</v>
      </c>
      <c r="G25" s="43">
        <v>0.05</v>
      </c>
      <c r="H25" s="43">
        <v>0.84097222222222223</v>
      </c>
      <c r="I25" s="43">
        <v>0</v>
      </c>
      <c r="J25" s="43">
        <v>0</v>
      </c>
      <c r="K25" s="43">
        <v>0.89097222222222228</v>
      </c>
      <c r="L25" s="87">
        <v>0</v>
      </c>
      <c r="M25" s="87">
        <v>0</v>
      </c>
      <c r="N25" s="87">
        <v>0</v>
      </c>
      <c r="O25" s="43">
        <v>0</v>
      </c>
      <c r="P25" s="43">
        <v>0</v>
      </c>
      <c r="Q25" s="43">
        <v>0</v>
      </c>
      <c r="R25" s="87"/>
      <c r="S25" s="87"/>
    </row>
    <row r="26" spans="1:19" x14ac:dyDescent="0.25">
      <c r="A26" s="43"/>
      <c r="B26" s="43" t="s">
        <v>168</v>
      </c>
      <c r="C26" s="43" t="s">
        <v>272</v>
      </c>
      <c r="D26" s="47" t="s">
        <v>402</v>
      </c>
      <c r="E26" s="43" t="s">
        <v>272</v>
      </c>
      <c r="F26" s="87">
        <v>9000</v>
      </c>
      <c r="G26" s="43">
        <v>0.05</v>
      </c>
      <c r="H26" s="43">
        <v>0.84097222222222223</v>
      </c>
      <c r="I26" s="43">
        <v>0</v>
      </c>
      <c r="J26" s="43">
        <v>0</v>
      </c>
      <c r="K26" s="43">
        <v>0.89097222222222228</v>
      </c>
      <c r="L26" s="87">
        <v>0</v>
      </c>
      <c r="M26" s="87">
        <v>0</v>
      </c>
      <c r="N26" s="87">
        <v>0</v>
      </c>
      <c r="O26" s="43">
        <v>0</v>
      </c>
      <c r="P26" s="43">
        <v>0</v>
      </c>
      <c r="Q26" s="43">
        <v>0</v>
      </c>
      <c r="R26" s="87"/>
      <c r="S26" s="87"/>
    </row>
    <row r="27" spans="1:19" x14ac:dyDescent="0.25">
      <c r="A27" s="43"/>
      <c r="B27" s="43" t="s">
        <v>168</v>
      </c>
      <c r="C27" s="43" t="s">
        <v>272</v>
      </c>
      <c r="D27" s="47" t="s">
        <v>272</v>
      </c>
      <c r="E27" s="43" t="s">
        <v>272</v>
      </c>
      <c r="F27" s="87">
        <v>9000</v>
      </c>
      <c r="G27" s="43">
        <v>0.05</v>
      </c>
      <c r="H27" s="43">
        <v>0.84097222222222223</v>
      </c>
      <c r="I27" s="43">
        <v>0</v>
      </c>
      <c r="J27" s="43">
        <v>0</v>
      </c>
      <c r="K27" s="43">
        <v>0.89097222222222228</v>
      </c>
      <c r="L27" s="87">
        <v>0</v>
      </c>
      <c r="M27" s="87">
        <v>0</v>
      </c>
      <c r="N27" s="87">
        <v>0</v>
      </c>
      <c r="O27" s="43">
        <v>0</v>
      </c>
      <c r="P27" s="43">
        <v>0</v>
      </c>
      <c r="Q27" s="43">
        <v>0</v>
      </c>
      <c r="R27" s="87"/>
      <c r="S27" s="87"/>
    </row>
    <row r="28" spans="1:19" x14ac:dyDescent="0.25">
      <c r="A28" s="43"/>
      <c r="B28" s="43" t="s">
        <v>168</v>
      </c>
      <c r="C28" s="43" t="s">
        <v>271</v>
      </c>
      <c r="D28" s="47" t="s">
        <v>402</v>
      </c>
      <c r="E28" s="43" t="s">
        <v>271</v>
      </c>
      <c r="F28" s="87">
        <v>9000</v>
      </c>
      <c r="G28" s="43">
        <v>0.05</v>
      </c>
      <c r="H28" s="43">
        <v>0.84097222222222223</v>
      </c>
      <c r="I28" s="43">
        <v>0</v>
      </c>
      <c r="J28" s="43">
        <v>0</v>
      </c>
      <c r="K28" s="43">
        <v>0.89097222222222228</v>
      </c>
      <c r="L28" s="87">
        <v>0</v>
      </c>
      <c r="M28" s="87">
        <v>0</v>
      </c>
      <c r="N28" s="87">
        <v>0</v>
      </c>
      <c r="O28" s="43">
        <v>0</v>
      </c>
      <c r="P28" s="43">
        <v>0</v>
      </c>
      <c r="Q28" s="43">
        <v>0</v>
      </c>
      <c r="R28" s="87"/>
      <c r="S28" s="87"/>
    </row>
    <row r="29" spans="1:19" x14ac:dyDescent="0.25">
      <c r="A29" s="43"/>
      <c r="B29" s="43" t="s">
        <v>168</v>
      </c>
      <c r="C29" s="43" t="s">
        <v>271</v>
      </c>
      <c r="D29" s="47" t="s">
        <v>271</v>
      </c>
      <c r="E29" s="43" t="s">
        <v>271</v>
      </c>
      <c r="F29" s="87">
        <v>9000</v>
      </c>
      <c r="G29" s="43">
        <v>0.05</v>
      </c>
      <c r="H29" s="43">
        <v>0.84097222222222223</v>
      </c>
      <c r="I29" s="43">
        <v>0</v>
      </c>
      <c r="J29" s="43">
        <v>0</v>
      </c>
      <c r="K29" s="43">
        <v>0.89097222222222228</v>
      </c>
      <c r="L29" s="87">
        <v>0</v>
      </c>
      <c r="M29" s="87">
        <v>0</v>
      </c>
      <c r="N29" s="87">
        <v>0</v>
      </c>
      <c r="O29" s="43">
        <v>0</v>
      </c>
      <c r="P29" s="43">
        <v>0</v>
      </c>
      <c r="Q29" s="43">
        <v>0</v>
      </c>
      <c r="R29" s="87"/>
      <c r="S29" s="87"/>
    </row>
    <row r="30" spans="1:19" x14ac:dyDescent="0.25">
      <c r="A30" s="43"/>
      <c r="B30" s="43" t="s">
        <v>168</v>
      </c>
      <c r="C30" s="43" t="s">
        <v>270</v>
      </c>
      <c r="D30" s="47" t="s">
        <v>402</v>
      </c>
      <c r="E30" s="43" t="s">
        <v>270</v>
      </c>
      <c r="F30" s="87">
        <v>18000</v>
      </c>
      <c r="G30" s="43">
        <v>0.1</v>
      </c>
      <c r="H30" s="43">
        <v>1.6819444444444445</v>
      </c>
      <c r="I30" s="43">
        <v>0</v>
      </c>
      <c r="J30" s="43">
        <v>0</v>
      </c>
      <c r="K30" s="43">
        <v>1.7819444444444446</v>
      </c>
      <c r="L30" s="87">
        <v>0</v>
      </c>
      <c r="M30" s="87">
        <v>0</v>
      </c>
      <c r="N30" s="87">
        <v>0</v>
      </c>
      <c r="O30" s="43">
        <v>0</v>
      </c>
      <c r="P30" s="43">
        <v>0</v>
      </c>
      <c r="Q30" s="43">
        <v>0</v>
      </c>
      <c r="R30" s="87"/>
      <c r="S30" s="87"/>
    </row>
    <row r="31" spans="1:19" x14ac:dyDescent="0.25">
      <c r="A31" s="43"/>
      <c r="B31" s="43" t="s">
        <v>168</v>
      </c>
      <c r="C31" s="43" t="s">
        <v>270</v>
      </c>
      <c r="D31" s="47" t="s">
        <v>275</v>
      </c>
      <c r="E31" s="43" t="s">
        <v>275</v>
      </c>
      <c r="F31" s="87">
        <v>9000</v>
      </c>
      <c r="G31" s="43">
        <v>0.05</v>
      </c>
      <c r="H31" s="43">
        <v>0.84097222222222223</v>
      </c>
      <c r="I31" s="43">
        <v>0</v>
      </c>
      <c r="J31" s="43">
        <v>0</v>
      </c>
      <c r="K31" s="43">
        <v>0.89097222222222228</v>
      </c>
      <c r="L31" s="87">
        <v>0</v>
      </c>
      <c r="M31" s="87">
        <v>0</v>
      </c>
      <c r="N31" s="87">
        <v>0</v>
      </c>
      <c r="O31" s="43">
        <v>0</v>
      </c>
      <c r="P31" s="43">
        <v>0</v>
      </c>
      <c r="Q31" s="43">
        <v>0</v>
      </c>
      <c r="R31" s="87"/>
      <c r="S31" s="87"/>
    </row>
    <row r="32" spans="1:19" x14ac:dyDescent="0.25">
      <c r="A32" s="43"/>
      <c r="B32" s="43" t="s">
        <v>168</v>
      </c>
      <c r="C32" s="43" t="s">
        <v>270</v>
      </c>
      <c r="D32" s="47" t="s">
        <v>278</v>
      </c>
      <c r="E32" s="43" t="s">
        <v>278</v>
      </c>
      <c r="F32" s="87">
        <v>9000</v>
      </c>
      <c r="G32" s="43">
        <v>0.05</v>
      </c>
      <c r="H32" s="43">
        <v>0.84097222222222223</v>
      </c>
      <c r="I32" s="43">
        <v>0</v>
      </c>
      <c r="J32" s="43">
        <v>0</v>
      </c>
      <c r="K32" s="43">
        <v>0.89097222222222228</v>
      </c>
      <c r="L32" s="87">
        <v>0</v>
      </c>
      <c r="M32" s="87">
        <v>0</v>
      </c>
      <c r="N32" s="87">
        <v>0</v>
      </c>
      <c r="O32" s="43">
        <v>0</v>
      </c>
      <c r="P32" s="43">
        <v>0</v>
      </c>
      <c r="Q32" s="43">
        <v>0</v>
      </c>
      <c r="R32" s="87"/>
      <c r="S32" s="87"/>
    </row>
    <row r="33" spans="1:19" x14ac:dyDescent="0.25">
      <c r="A33" s="43"/>
      <c r="B33" s="43" t="s">
        <v>168</v>
      </c>
      <c r="C33" s="43" t="s">
        <v>269</v>
      </c>
      <c r="D33" s="47" t="s">
        <v>402</v>
      </c>
      <c r="E33" s="43" t="s">
        <v>269</v>
      </c>
      <c r="F33" s="87">
        <v>9000</v>
      </c>
      <c r="G33" s="43">
        <v>0.05</v>
      </c>
      <c r="H33" s="43">
        <v>0.84097222222222223</v>
      </c>
      <c r="I33" s="43">
        <v>0</v>
      </c>
      <c r="J33" s="43">
        <v>0</v>
      </c>
      <c r="K33" s="43">
        <v>0.89097222222222228</v>
      </c>
      <c r="L33" s="87">
        <v>0</v>
      </c>
      <c r="M33" s="87">
        <v>0</v>
      </c>
      <c r="N33" s="87">
        <v>0</v>
      </c>
      <c r="O33" s="43">
        <v>0</v>
      </c>
      <c r="P33" s="43">
        <v>0</v>
      </c>
      <c r="Q33" s="43">
        <v>0</v>
      </c>
      <c r="R33" s="87"/>
      <c r="S33" s="87"/>
    </row>
    <row r="34" spans="1:19" x14ac:dyDescent="0.25">
      <c r="A34" s="43"/>
      <c r="B34" s="43" t="s">
        <v>168</v>
      </c>
      <c r="C34" s="43" t="s">
        <v>269</v>
      </c>
      <c r="D34" s="47" t="s">
        <v>269</v>
      </c>
      <c r="E34" s="43" t="s">
        <v>269</v>
      </c>
      <c r="F34" s="87">
        <v>9000</v>
      </c>
      <c r="G34" s="43">
        <v>0.05</v>
      </c>
      <c r="H34" s="43">
        <v>0.84097222222222223</v>
      </c>
      <c r="I34" s="43">
        <v>0</v>
      </c>
      <c r="J34" s="43">
        <v>0</v>
      </c>
      <c r="K34" s="43">
        <v>0.89097222222222228</v>
      </c>
      <c r="L34" s="87">
        <v>0</v>
      </c>
      <c r="M34" s="87">
        <v>0</v>
      </c>
      <c r="N34" s="87">
        <v>0</v>
      </c>
      <c r="O34" s="43">
        <v>0</v>
      </c>
      <c r="P34" s="43">
        <v>0</v>
      </c>
      <c r="Q34" s="43">
        <v>0</v>
      </c>
      <c r="R34" s="87"/>
      <c r="S34" s="87"/>
    </row>
    <row r="35" spans="1:19" x14ac:dyDescent="0.25">
      <c r="A35" s="43"/>
      <c r="B35" s="43" t="s">
        <v>168</v>
      </c>
      <c r="C35" s="43" t="s">
        <v>267</v>
      </c>
      <c r="D35" s="47" t="s">
        <v>402</v>
      </c>
      <c r="E35" s="43" t="s">
        <v>267</v>
      </c>
      <c r="F35" s="87">
        <v>9000</v>
      </c>
      <c r="G35" s="43">
        <v>0.05</v>
      </c>
      <c r="H35" s="43">
        <v>0.84097222222222223</v>
      </c>
      <c r="I35" s="43">
        <v>0</v>
      </c>
      <c r="J35" s="43">
        <v>0</v>
      </c>
      <c r="K35" s="43">
        <v>0.89097222222222228</v>
      </c>
      <c r="L35" s="87">
        <v>0</v>
      </c>
      <c r="M35" s="87">
        <v>0</v>
      </c>
      <c r="N35" s="87">
        <v>0</v>
      </c>
      <c r="O35" s="43">
        <v>0</v>
      </c>
      <c r="P35" s="43">
        <v>0</v>
      </c>
      <c r="Q35" s="43">
        <v>0</v>
      </c>
      <c r="R35" s="87"/>
      <c r="S35" s="87"/>
    </row>
    <row r="36" spans="1:19" x14ac:dyDescent="0.25">
      <c r="A36" s="43"/>
      <c r="B36" s="43" t="s">
        <v>168</v>
      </c>
      <c r="C36" s="43" t="s">
        <v>267</v>
      </c>
      <c r="D36" s="47" t="s">
        <v>268</v>
      </c>
      <c r="E36" s="43" t="s">
        <v>268</v>
      </c>
      <c r="F36" s="87">
        <v>9000</v>
      </c>
      <c r="G36" s="43">
        <v>0.05</v>
      </c>
      <c r="H36" s="43">
        <v>0.84097222222222223</v>
      </c>
      <c r="I36" s="43">
        <v>0</v>
      </c>
      <c r="J36" s="43">
        <v>0</v>
      </c>
      <c r="K36" s="43">
        <v>0.89097222222222228</v>
      </c>
      <c r="L36" s="87">
        <v>0</v>
      </c>
      <c r="M36" s="87">
        <v>0</v>
      </c>
      <c r="N36" s="87">
        <v>0</v>
      </c>
      <c r="O36" s="43">
        <v>0</v>
      </c>
      <c r="P36" s="43">
        <v>0</v>
      </c>
      <c r="Q36" s="43">
        <v>0</v>
      </c>
      <c r="R36" s="87"/>
      <c r="S36" s="87"/>
    </row>
    <row r="37" spans="1:19" x14ac:dyDescent="0.25">
      <c r="A37" s="43"/>
      <c r="B37" s="43" t="s">
        <v>169</v>
      </c>
      <c r="C37" s="43" t="s">
        <v>364</v>
      </c>
      <c r="D37" s="47" t="s">
        <v>364</v>
      </c>
      <c r="E37" s="43" t="s">
        <v>169</v>
      </c>
      <c r="F37" s="87">
        <v>108000</v>
      </c>
      <c r="G37" s="43">
        <v>0.6</v>
      </c>
      <c r="H37" s="43">
        <v>10.091666666666667</v>
      </c>
      <c r="I37" s="43">
        <v>0.12916666666666668</v>
      </c>
      <c r="J37" s="43">
        <v>0.22083333333333333</v>
      </c>
      <c r="K37" s="43">
        <v>10.691666666666666</v>
      </c>
      <c r="L37" s="87">
        <v>0.35</v>
      </c>
      <c r="M37" s="87">
        <v>10763</v>
      </c>
      <c r="N37" s="87">
        <v>2421</v>
      </c>
      <c r="O37" s="43">
        <v>8342</v>
      </c>
      <c r="P37" s="43">
        <v>0</v>
      </c>
      <c r="Q37" s="43">
        <v>10763</v>
      </c>
      <c r="R37" s="87"/>
      <c r="S37" s="87"/>
    </row>
    <row r="38" spans="1:19" x14ac:dyDescent="0.25">
      <c r="A38" s="43"/>
      <c r="B38" s="43" t="s">
        <v>169</v>
      </c>
      <c r="C38" s="43" t="s">
        <v>270</v>
      </c>
      <c r="D38" s="47" t="s">
        <v>402</v>
      </c>
      <c r="E38" s="43" t="s">
        <v>270</v>
      </c>
      <c r="F38" s="87">
        <v>18000</v>
      </c>
      <c r="G38" s="43">
        <v>0.1</v>
      </c>
      <c r="H38" s="43">
        <v>1.6819444444444445</v>
      </c>
      <c r="I38" s="43">
        <v>0</v>
      </c>
      <c r="J38" s="43">
        <v>0</v>
      </c>
      <c r="K38" s="43">
        <v>1.7819444444444446</v>
      </c>
      <c r="L38" s="87">
        <v>0</v>
      </c>
      <c r="M38" s="87">
        <v>0</v>
      </c>
      <c r="N38" s="87">
        <v>0</v>
      </c>
      <c r="O38" s="43">
        <v>0</v>
      </c>
      <c r="P38" s="43">
        <v>0</v>
      </c>
      <c r="Q38" s="43">
        <v>0</v>
      </c>
      <c r="R38" s="87"/>
      <c r="S38" s="87"/>
    </row>
    <row r="39" spans="1:19" x14ac:dyDescent="0.25">
      <c r="A39" s="43"/>
      <c r="B39" s="43" t="s">
        <v>169</v>
      </c>
      <c r="C39" s="43" t="s">
        <v>270</v>
      </c>
      <c r="D39" s="47" t="s">
        <v>275</v>
      </c>
      <c r="E39" s="43" t="s">
        <v>275</v>
      </c>
      <c r="F39" s="87">
        <v>9000</v>
      </c>
      <c r="G39" s="43">
        <v>0.05</v>
      </c>
      <c r="H39" s="43">
        <v>0.84097222222222223</v>
      </c>
      <c r="I39" s="43">
        <v>0</v>
      </c>
      <c r="J39" s="43">
        <v>0</v>
      </c>
      <c r="K39" s="43">
        <v>0.89097222222222228</v>
      </c>
      <c r="L39" s="87">
        <v>0</v>
      </c>
      <c r="M39" s="87">
        <v>0</v>
      </c>
      <c r="N39" s="87">
        <v>0</v>
      </c>
      <c r="O39" s="43">
        <v>0</v>
      </c>
      <c r="P39" s="43">
        <v>0</v>
      </c>
      <c r="Q39" s="43">
        <v>0</v>
      </c>
      <c r="R39" s="87"/>
      <c r="S39" s="87"/>
    </row>
    <row r="40" spans="1:19" x14ac:dyDescent="0.25">
      <c r="A40" s="43"/>
      <c r="B40" s="43" t="s">
        <v>169</v>
      </c>
      <c r="C40" s="43" t="s">
        <v>270</v>
      </c>
      <c r="D40" s="47" t="s">
        <v>278</v>
      </c>
      <c r="E40" s="43" t="s">
        <v>278</v>
      </c>
      <c r="F40" s="87">
        <v>9000</v>
      </c>
      <c r="G40" s="43">
        <v>0.05</v>
      </c>
      <c r="H40" s="43">
        <v>0.84097222222222223</v>
      </c>
      <c r="I40" s="43">
        <v>0</v>
      </c>
      <c r="J40" s="43">
        <v>0</v>
      </c>
      <c r="K40" s="43">
        <v>0.89097222222222228</v>
      </c>
      <c r="L40" s="87">
        <v>0</v>
      </c>
      <c r="M40" s="87">
        <v>0</v>
      </c>
      <c r="N40" s="87">
        <v>0</v>
      </c>
      <c r="O40" s="43">
        <v>0</v>
      </c>
      <c r="P40" s="43">
        <v>0</v>
      </c>
      <c r="Q40" s="43">
        <v>0</v>
      </c>
      <c r="R40" s="87"/>
      <c r="S40" s="87"/>
    </row>
    <row r="41" spans="1:19" x14ac:dyDescent="0.25">
      <c r="A41" s="43"/>
      <c r="B41" s="43" t="s">
        <v>169</v>
      </c>
      <c r="C41" s="43" t="s">
        <v>273</v>
      </c>
      <c r="D41" s="47" t="s">
        <v>402</v>
      </c>
      <c r="E41" s="43" t="s">
        <v>273</v>
      </c>
      <c r="F41" s="87">
        <v>18000</v>
      </c>
      <c r="G41" s="43">
        <v>0.1</v>
      </c>
      <c r="H41" s="43">
        <v>1.6819444444444445</v>
      </c>
      <c r="I41" s="43">
        <v>0</v>
      </c>
      <c r="J41" s="43">
        <v>0</v>
      </c>
      <c r="K41" s="43">
        <v>1.7819444444444446</v>
      </c>
      <c r="L41" s="87">
        <v>0</v>
      </c>
      <c r="M41" s="87">
        <v>0</v>
      </c>
      <c r="N41" s="87">
        <v>0</v>
      </c>
      <c r="O41" s="43">
        <v>0</v>
      </c>
      <c r="P41" s="43">
        <v>0</v>
      </c>
      <c r="Q41" s="43">
        <v>0</v>
      </c>
      <c r="R41" s="87"/>
      <c r="S41" s="87"/>
    </row>
    <row r="42" spans="1:19" x14ac:dyDescent="0.25">
      <c r="A42" s="43"/>
      <c r="B42" s="43" t="s">
        <v>169</v>
      </c>
      <c r="C42" s="43" t="s">
        <v>273</v>
      </c>
      <c r="D42" s="47" t="s">
        <v>274</v>
      </c>
      <c r="E42" s="43" t="s">
        <v>274</v>
      </c>
      <c r="F42" s="87">
        <v>9000</v>
      </c>
      <c r="G42" s="43">
        <v>0.05</v>
      </c>
      <c r="H42" s="43">
        <v>0.84097222222222223</v>
      </c>
      <c r="I42" s="43">
        <v>0</v>
      </c>
      <c r="J42" s="43">
        <v>0</v>
      </c>
      <c r="K42" s="43">
        <v>0.89097222222222228</v>
      </c>
      <c r="L42" s="87">
        <v>0</v>
      </c>
      <c r="M42" s="87">
        <v>0</v>
      </c>
      <c r="N42" s="87">
        <v>0</v>
      </c>
      <c r="O42" s="43">
        <v>0</v>
      </c>
      <c r="P42" s="43">
        <v>0</v>
      </c>
      <c r="Q42" s="43">
        <v>0</v>
      </c>
      <c r="R42" s="87"/>
      <c r="S42" s="87"/>
    </row>
    <row r="43" spans="1:19" x14ac:dyDescent="0.25">
      <c r="A43" s="43"/>
      <c r="B43" s="43" t="s">
        <v>169</v>
      </c>
      <c r="C43" s="43" t="s">
        <v>273</v>
      </c>
      <c r="D43" s="47" t="s">
        <v>277</v>
      </c>
      <c r="E43" s="43" t="s">
        <v>277</v>
      </c>
      <c r="F43" s="87">
        <v>9000</v>
      </c>
      <c r="G43" s="43">
        <v>0.05</v>
      </c>
      <c r="H43" s="43">
        <v>0.84097222222222223</v>
      </c>
      <c r="I43" s="43">
        <v>0</v>
      </c>
      <c r="J43" s="43">
        <v>0</v>
      </c>
      <c r="K43" s="43">
        <v>0.89097222222222228</v>
      </c>
      <c r="L43" s="87">
        <v>0</v>
      </c>
      <c r="M43" s="87">
        <v>0</v>
      </c>
      <c r="N43" s="87">
        <v>0</v>
      </c>
      <c r="O43" s="43">
        <v>0</v>
      </c>
      <c r="P43" s="43">
        <v>0</v>
      </c>
      <c r="Q43" s="43">
        <v>0</v>
      </c>
      <c r="R43" s="87"/>
      <c r="S43" s="87"/>
    </row>
    <row r="44" spans="1:19" x14ac:dyDescent="0.25">
      <c r="A44" s="43"/>
      <c r="B44" s="43" t="s">
        <v>169</v>
      </c>
      <c r="C44" s="43" t="s">
        <v>271</v>
      </c>
      <c r="D44" s="47" t="s">
        <v>402</v>
      </c>
      <c r="E44" s="43" t="s">
        <v>271</v>
      </c>
      <c r="F44" s="87">
        <v>9000</v>
      </c>
      <c r="G44" s="43">
        <v>0.05</v>
      </c>
      <c r="H44" s="43">
        <v>0.84097222222222223</v>
      </c>
      <c r="I44" s="43">
        <v>0</v>
      </c>
      <c r="J44" s="43">
        <v>0</v>
      </c>
      <c r="K44" s="43">
        <v>0.89097222222222228</v>
      </c>
      <c r="L44" s="87">
        <v>0</v>
      </c>
      <c r="M44" s="87">
        <v>0</v>
      </c>
      <c r="N44" s="87">
        <v>0</v>
      </c>
      <c r="O44" s="43">
        <v>0</v>
      </c>
      <c r="P44" s="43">
        <v>0</v>
      </c>
      <c r="Q44" s="43">
        <v>0</v>
      </c>
      <c r="R44" s="87"/>
      <c r="S44" s="87"/>
    </row>
    <row r="45" spans="1:19" x14ac:dyDescent="0.25">
      <c r="A45" s="43"/>
      <c r="B45" s="43" t="s">
        <v>169</v>
      </c>
      <c r="C45" s="43" t="s">
        <v>271</v>
      </c>
      <c r="D45" s="47" t="s">
        <v>271</v>
      </c>
      <c r="E45" s="43" t="s">
        <v>271</v>
      </c>
      <c r="F45" s="87">
        <v>9000</v>
      </c>
      <c r="G45" s="43">
        <v>0.05</v>
      </c>
      <c r="H45" s="43">
        <v>0.84097222222222223</v>
      </c>
      <c r="I45" s="43">
        <v>0</v>
      </c>
      <c r="J45" s="43">
        <v>0</v>
      </c>
      <c r="K45" s="43">
        <v>0.89097222222222228</v>
      </c>
      <c r="L45" s="87">
        <v>0</v>
      </c>
      <c r="M45" s="87">
        <v>0</v>
      </c>
      <c r="N45" s="87">
        <v>0</v>
      </c>
      <c r="O45" s="43">
        <v>0</v>
      </c>
      <c r="P45" s="43">
        <v>0</v>
      </c>
      <c r="Q45" s="43">
        <v>0</v>
      </c>
      <c r="R45" s="87"/>
      <c r="S45" s="87"/>
    </row>
    <row r="46" spans="1:19" x14ac:dyDescent="0.25">
      <c r="A46" s="43"/>
      <c r="B46" s="43" t="s">
        <v>169</v>
      </c>
      <c r="C46" s="43" t="s">
        <v>134</v>
      </c>
      <c r="D46" s="47" t="s">
        <v>402</v>
      </c>
      <c r="E46" s="43" t="s">
        <v>134</v>
      </c>
      <c r="F46" s="87">
        <v>9000</v>
      </c>
      <c r="G46" s="43">
        <v>0.05</v>
      </c>
      <c r="H46" s="43">
        <v>0.84097222222222223</v>
      </c>
      <c r="I46" s="43">
        <v>0</v>
      </c>
      <c r="J46" s="43">
        <v>0</v>
      </c>
      <c r="K46" s="43">
        <v>0.89097222222222228</v>
      </c>
      <c r="L46" s="87">
        <v>0</v>
      </c>
      <c r="M46" s="87">
        <v>0</v>
      </c>
      <c r="N46" s="87">
        <v>0</v>
      </c>
      <c r="O46" s="43">
        <v>0</v>
      </c>
      <c r="P46" s="43">
        <v>0</v>
      </c>
      <c r="Q46" s="43">
        <v>0</v>
      </c>
      <c r="R46" s="87"/>
      <c r="S46" s="87"/>
    </row>
    <row r="47" spans="1:19" x14ac:dyDescent="0.25">
      <c r="A47" s="43"/>
      <c r="B47" s="43" t="s">
        <v>169</v>
      </c>
      <c r="C47" s="43" t="s">
        <v>134</v>
      </c>
      <c r="D47" s="47" t="s">
        <v>134</v>
      </c>
      <c r="E47" s="43" t="s">
        <v>134</v>
      </c>
      <c r="F47" s="87">
        <v>9000</v>
      </c>
      <c r="G47" s="43">
        <v>0.05</v>
      </c>
      <c r="H47" s="43">
        <v>0.84097222222222223</v>
      </c>
      <c r="I47" s="43">
        <v>0</v>
      </c>
      <c r="J47" s="43">
        <v>0</v>
      </c>
      <c r="K47" s="43">
        <v>0.89097222222222228</v>
      </c>
      <c r="L47" s="87">
        <v>0</v>
      </c>
      <c r="M47" s="87">
        <v>0</v>
      </c>
      <c r="N47" s="87">
        <v>0</v>
      </c>
      <c r="O47" s="43">
        <v>0</v>
      </c>
      <c r="P47" s="43">
        <v>0</v>
      </c>
      <c r="Q47" s="43">
        <v>0</v>
      </c>
      <c r="R47" s="87"/>
      <c r="S47" s="87"/>
    </row>
    <row r="48" spans="1:19" x14ac:dyDescent="0.25">
      <c r="A48" s="43"/>
      <c r="B48" s="43" t="s">
        <v>169</v>
      </c>
      <c r="C48" s="43" t="s">
        <v>272</v>
      </c>
      <c r="D48" s="47" t="s">
        <v>402</v>
      </c>
      <c r="E48" s="43" t="s">
        <v>272</v>
      </c>
      <c r="F48" s="87">
        <v>9000</v>
      </c>
      <c r="G48" s="43">
        <v>0.05</v>
      </c>
      <c r="H48" s="43">
        <v>0.84097222222222223</v>
      </c>
      <c r="I48" s="43">
        <v>0</v>
      </c>
      <c r="J48" s="43">
        <v>0</v>
      </c>
      <c r="K48" s="43">
        <v>0.89097222222222228</v>
      </c>
      <c r="L48" s="87">
        <v>0</v>
      </c>
      <c r="M48" s="87">
        <v>0</v>
      </c>
      <c r="N48" s="87">
        <v>0</v>
      </c>
      <c r="O48" s="43">
        <v>0</v>
      </c>
      <c r="P48" s="43">
        <v>0</v>
      </c>
      <c r="Q48" s="43">
        <v>0</v>
      </c>
      <c r="R48" s="87"/>
      <c r="S48" s="87"/>
    </row>
    <row r="49" spans="1:19" x14ac:dyDescent="0.25">
      <c r="A49" s="43"/>
      <c r="B49" s="43" t="s">
        <v>169</v>
      </c>
      <c r="C49" s="43" t="s">
        <v>272</v>
      </c>
      <c r="D49" s="47" t="s">
        <v>272</v>
      </c>
      <c r="E49" s="43" t="s">
        <v>272</v>
      </c>
      <c r="F49" s="87">
        <v>9000</v>
      </c>
      <c r="G49" s="43">
        <v>0.05</v>
      </c>
      <c r="H49" s="43">
        <v>0.84097222222222223</v>
      </c>
      <c r="I49" s="43">
        <v>0</v>
      </c>
      <c r="J49" s="43">
        <v>0</v>
      </c>
      <c r="K49" s="43">
        <v>0.89097222222222228</v>
      </c>
      <c r="L49" s="87">
        <v>0</v>
      </c>
      <c r="M49" s="87">
        <v>0</v>
      </c>
      <c r="N49" s="87">
        <v>0</v>
      </c>
      <c r="O49" s="43">
        <v>0</v>
      </c>
      <c r="P49" s="43">
        <v>0</v>
      </c>
      <c r="Q49" s="43">
        <v>0</v>
      </c>
      <c r="R49" s="87"/>
      <c r="S49" s="87"/>
    </row>
    <row r="50" spans="1:19" x14ac:dyDescent="0.25">
      <c r="A50" s="43"/>
      <c r="B50" s="43" t="s">
        <v>169</v>
      </c>
      <c r="C50" s="43" t="s">
        <v>267</v>
      </c>
      <c r="D50" s="47" t="s">
        <v>402</v>
      </c>
      <c r="E50" s="43" t="s">
        <v>267</v>
      </c>
      <c r="F50" s="87">
        <v>36000</v>
      </c>
      <c r="G50" s="43">
        <v>0.2</v>
      </c>
      <c r="H50" s="43">
        <v>3.3638888888888889</v>
      </c>
      <c r="I50" s="43">
        <v>0.12916666666666668</v>
      </c>
      <c r="J50" s="43">
        <v>0.22083333333333333</v>
      </c>
      <c r="K50" s="43">
        <v>3.5638888888888891</v>
      </c>
      <c r="L50" s="87">
        <v>0.35</v>
      </c>
      <c r="M50" s="87">
        <v>10763</v>
      </c>
      <c r="N50" s="87">
        <v>2421</v>
      </c>
      <c r="O50" s="43">
        <v>8342</v>
      </c>
      <c r="P50" s="43">
        <v>0</v>
      </c>
      <c r="Q50" s="43">
        <v>10763</v>
      </c>
      <c r="R50" s="87"/>
      <c r="S50" s="87"/>
    </row>
    <row r="51" spans="1:19" x14ac:dyDescent="0.25">
      <c r="A51" s="43"/>
      <c r="B51" s="43" t="s">
        <v>169</v>
      </c>
      <c r="C51" s="43" t="s">
        <v>267</v>
      </c>
      <c r="D51" s="47" t="s">
        <v>268</v>
      </c>
      <c r="E51" s="43" t="s">
        <v>268</v>
      </c>
      <c r="F51" s="87">
        <v>9000</v>
      </c>
      <c r="G51" s="43">
        <v>0.05</v>
      </c>
      <c r="H51" s="43">
        <v>0.84097222222222223</v>
      </c>
      <c r="I51" s="43">
        <v>7.9166666666666663E-2</v>
      </c>
      <c r="J51" s="43">
        <v>0</v>
      </c>
      <c r="K51" s="43">
        <v>0.89097222222222228</v>
      </c>
      <c r="L51" s="87">
        <v>7.9166666666666663E-2</v>
      </c>
      <c r="M51" s="87">
        <v>1209</v>
      </c>
      <c r="N51" s="87">
        <v>1209</v>
      </c>
      <c r="O51" s="43">
        <v>0</v>
      </c>
      <c r="P51" s="43">
        <v>0</v>
      </c>
      <c r="Q51" s="43">
        <v>1209</v>
      </c>
      <c r="R51" s="87"/>
      <c r="S51" s="87"/>
    </row>
    <row r="52" spans="1:19" x14ac:dyDescent="0.25">
      <c r="A52" s="43"/>
      <c r="B52" s="43" t="s">
        <v>169</v>
      </c>
      <c r="C52" s="43" t="s">
        <v>267</v>
      </c>
      <c r="D52" s="47" t="s">
        <v>268</v>
      </c>
      <c r="E52" s="43" t="s">
        <v>268</v>
      </c>
      <c r="F52" s="87">
        <v>9000</v>
      </c>
      <c r="G52" s="43">
        <v>0.05</v>
      </c>
      <c r="H52" s="43">
        <v>0.84097222222222223</v>
      </c>
      <c r="I52" s="43">
        <v>0</v>
      </c>
      <c r="J52" s="43">
        <v>0.10694444444444444</v>
      </c>
      <c r="K52" s="43">
        <v>0.89097222222222228</v>
      </c>
      <c r="L52" s="87">
        <v>0.10694444444444444</v>
      </c>
      <c r="M52" s="87">
        <v>2342</v>
      </c>
      <c r="N52" s="87">
        <v>0</v>
      </c>
      <c r="O52" s="43">
        <v>2342</v>
      </c>
      <c r="P52" s="43">
        <v>0</v>
      </c>
      <c r="Q52" s="43">
        <v>2342</v>
      </c>
      <c r="R52" s="87"/>
      <c r="S52" s="87"/>
    </row>
    <row r="53" spans="1:19" x14ac:dyDescent="0.25">
      <c r="A53" s="43"/>
      <c r="B53" s="43" t="s">
        <v>169</v>
      </c>
      <c r="C53" s="43" t="s">
        <v>267</v>
      </c>
      <c r="D53" s="47" t="s">
        <v>268</v>
      </c>
      <c r="E53" s="43" t="s">
        <v>268</v>
      </c>
      <c r="F53" s="87">
        <v>9000</v>
      </c>
      <c r="G53" s="43">
        <v>0.05</v>
      </c>
      <c r="H53" s="43">
        <v>0.84097222222222223</v>
      </c>
      <c r="I53" s="43">
        <v>0</v>
      </c>
      <c r="J53" s="43">
        <v>0.11388888888888889</v>
      </c>
      <c r="K53" s="43">
        <v>0.89097222222222228</v>
      </c>
      <c r="L53" s="87">
        <v>0.11388888888888889</v>
      </c>
      <c r="M53" s="87">
        <v>6000</v>
      </c>
      <c r="N53" s="87">
        <v>0</v>
      </c>
      <c r="O53" s="43">
        <v>6000</v>
      </c>
      <c r="P53" s="43">
        <v>0</v>
      </c>
      <c r="Q53" s="43">
        <v>6000</v>
      </c>
      <c r="R53" s="87"/>
      <c r="S53" s="87"/>
    </row>
    <row r="54" spans="1:19" x14ac:dyDescent="0.25">
      <c r="A54" s="43"/>
      <c r="B54" s="43" t="s">
        <v>169</v>
      </c>
      <c r="C54" s="43" t="s">
        <v>267</v>
      </c>
      <c r="D54" s="47" t="s">
        <v>268</v>
      </c>
      <c r="E54" s="43" t="s">
        <v>268</v>
      </c>
      <c r="F54" s="87">
        <v>9000</v>
      </c>
      <c r="G54" s="43">
        <v>0.05</v>
      </c>
      <c r="H54" s="43">
        <v>0.84097222222222223</v>
      </c>
      <c r="I54" s="43">
        <v>0.05</v>
      </c>
      <c r="J54" s="43">
        <v>0</v>
      </c>
      <c r="K54" s="43">
        <v>0.89097222222222228</v>
      </c>
      <c r="L54" s="87">
        <v>0.05</v>
      </c>
      <c r="M54" s="87">
        <v>1212</v>
      </c>
      <c r="N54" s="87">
        <v>1212</v>
      </c>
      <c r="O54" s="43">
        <v>0</v>
      </c>
      <c r="P54" s="43">
        <v>0</v>
      </c>
      <c r="Q54" s="43">
        <v>1212</v>
      </c>
      <c r="R54" s="87"/>
      <c r="S54" s="87"/>
    </row>
    <row r="55" spans="1:19" x14ac:dyDescent="0.25">
      <c r="A55" s="43"/>
      <c r="B55" s="43" t="s">
        <v>169</v>
      </c>
      <c r="C55" s="43" t="s">
        <v>269</v>
      </c>
      <c r="D55" s="47" t="s">
        <v>402</v>
      </c>
      <c r="E55" s="43" t="s">
        <v>269</v>
      </c>
      <c r="F55" s="87">
        <v>9000</v>
      </c>
      <c r="G55" s="43">
        <v>0.05</v>
      </c>
      <c r="H55" s="43">
        <v>0.84097222222222223</v>
      </c>
      <c r="I55" s="43">
        <v>0</v>
      </c>
      <c r="J55" s="43">
        <v>0</v>
      </c>
      <c r="K55" s="43">
        <v>0.89097222222222228</v>
      </c>
      <c r="L55" s="87">
        <v>0</v>
      </c>
      <c r="M55" s="87">
        <v>0</v>
      </c>
      <c r="N55" s="87">
        <v>0</v>
      </c>
      <c r="O55" s="43">
        <v>0</v>
      </c>
      <c r="P55" s="43">
        <v>0</v>
      </c>
      <c r="Q55" s="43">
        <v>0</v>
      </c>
      <c r="R55" s="87"/>
      <c r="S55" s="87"/>
    </row>
    <row r="56" spans="1:19" x14ac:dyDescent="0.25">
      <c r="A56" s="43"/>
      <c r="B56" s="43" t="s">
        <v>169</v>
      </c>
      <c r="C56" s="43" t="s">
        <v>269</v>
      </c>
      <c r="D56" s="47" t="s">
        <v>269</v>
      </c>
      <c r="E56" s="43" t="s">
        <v>269</v>
      </c>
      <c r="F56" s="87">
        <v>9000</v>
      </c>
      <c r="G56" s="43">
        <v>0.05</v>
      </c>
      <c r="H56" s="43">
        <v>0.84097222222222223</v>
      </c>
      <c r="I56" s="43">
        <v>0</v>
      </c>
      <c r="J56" s="43">
        <v>0</v>
      </c>
      <c r="K56" s="43">
        <v>0.89097222222222228</v>
      </c>
      <c r="L56" s="87">
        <v>0</v>
      </c>
      <c r="M56" s="87">
        <v>0</v>
      </c>
      <c r="N56" s="87">
        <v>0</v>
      </c>
      <c r="O56" s="43">
        <v>0</v>
      </c>
      <c r="P56" s="43">
        <v>0</v>
      </c>
      <c r="Q56" s="43">
        <v>0</v>
      </c>
      <c r="R56" s="87"/>
      <c r="S56" s="87"/>
    </row>
    <row r="57" spans="1:19" x14ac:dyDescent="0.25">
      <c r="A57" s="43"/>
      <c r="B57" s="43" t="s">
        <v>167</v>
      </c>
      <c r="C57" s="43" t="s">
        <v>364</v>
      </c>
      <c r="D57" s="47" t="s">
        <v>364</v>
      </c>
      <c r="E57" s="43" t="s">
        <v>167</v>
      </c>
      <c r="F57" s="87">
        <v>81000</v>
      </c>
      <c r="G57" s="43">
        <v>0.45</v>
      </c>
      <c r="H57" s="43">
        <v>7.5687499999999996</v>
      </c>
      <c r="I57" s="43">
        <v>0</v>
      </c>
      <c r="J57" s="43">
        <v>0</v>
      </c>
      <c r="K57" s="43">
        <v>8.0187500000000007</v>
      </c>
      <c r="L57" s="87">
        <v>0</v>
      </c>
      <c r="M57" s="87">
        <v>0</v>
      </c>
      <c r="N57" s="87">
        <v>0</v>
      </c>
      <c r="O57" s="43">
        <v>0</v>
      </c>
      <c r="P57" s="43">
        <v>0</v>
      </c>
      <c r="Q57" s="43">
        <v>0</v>
      </c>
      <c r="R57" s="87"/>
      <c r="S57" s="87"/>
    </row>
    <row r="58" spans="1:19" x14ac:dyDescent="0.25">
      <c r="A58" s="43"/>
      <c r="B58" s="43" t="s">
        <v>167</v>
      </c>
      <c r="C58" s="43" t="s">
        <v>267</v>
      </c>
      <c r="D58" s="47" t="s">
        <v>402</v>
      </c>
      <c r="E58" s="43" t="s">
        <v>267</v>
      </c>
      <c r="F58" s="87">
        <v>9000</v>
      </c>
      <c r="G58" s="43">
        <v>0.05</v>
      </c>
      <c r="H58" s="43">
        <v>0.84097222222222223</v>
      </c>
      <c r="I58" s="43">
        <v>0</v>
      </c>
      <c r="J58" s="43">
        <v>0</v>
      </c>
      <c r="K58" s="43">
        <v>0.89097222222222228</v>
      </c>
      <c r="L58" s="87">
        <v>0</v>
      </c>
      <c r="M58" s="87">
        <v>0</v>
      </c>
      <c r="N58" s="87">
        <v>0</v>
      </c>
      <c r="O58" s="43">
        <v>0</v>
      </c>
      <c r="P58" s="43">
        <v>0</v>
      </c>
      <c r="Q58" s="43">
        <v>0</v>
      </c>
      <c r="R58" s="87"/>
      <c r="S58" s="87"/>
    </row>
    <row r="59" spans="1:19" x14ac:dyDescent="0.25">
      <c r="A59" s="43"/>
      <c r="B59" s="43" t="s">
        <v>167</v>
      </c>
      <c r="C59" s="43" t="s">
        <v>267</v>
      </c>
      <c r="D59" s="47" t="s">
        <v>268</v>
      </c>
      <c r="E59" s="43" t="s">
        <v>268</v>
      </c>
      <c r="F59" s="87">
        <v>9000</v>
      </c>
      <c r="G59" s="43">
        <v>0.05</v>
      </c>
      <c r="H59" s="43">
        <v>0.84097222222222223</v>
      </c>
      <c r="I59" s="43">
        <v>0</v>
      </c>
      <c r="J59" s="43">
        <v>0</v>
      </c>
      <c r="K59" s="43">
        <v>0.89097222222222228</v>
      </c>
      <c r="L59" s="87">
        <v>0</v>
      </c>
      <c r="M59" s="87">
        <v>0</v>
      </c>
      <c r="N59" s="87">
        <v>0</v>
      </c>
      <c r="O59" s="43">
        <v>0</v>
      </c>
      <c r="P59" s="43">
        <v>0</v>
      </c>
      <c r="Q59" s="43">
        <v>0</v>
      </c>
      <c r="R59" s="87"/>
      <c r="S59" s="87"/>
    </row>
    <row r="60" spans="1:19" x14ac:dyDescent="0.25">
      <c r="A60" s="43"/>
      <c r="B60" s="43" t="s">
        <v>167</v>
      </c>
      <c r="C60" s="43" t="s">
        <v>269</v>
      </c>
      <c r="D60" s="47" t="s">
        <v>402</v>
      </c>
      <c r="E60" s="43" t="s">
        <v>269</v>
      </c>
      <c r="F60" s="87">
        <v>9000</v>
      </c>
      <c r="G60" s="43">
        <v>0.05</v>
      </c>
      <c r="H60" s="43">
        <v>0.84097222222222223</v>
      </c>
      <c r="I60" s="43">
        <v>0</v>
      </c>
      <c r="J60" s="43">
        <v>0</v>
      </c>
      <c r="K60" s="43">
        <v>0.89097222222222228</v>
      </c>
      <c r="L60" s="87">
        <v>0</v>
      </c>
      <c r="M60" s="87">
        <v>0</v>
      </c>
      <c r="N60" s="87">
        <v>0</v>
      </c>
      <c r="O60" s="43">
        <v>0</v>
      </c>
      <c r="P60" s="43">
        <v>0</v>
      </c>
      <c r="Q60" s="43">
        <v>0</v>
      </c>
      <c r="R60" s="87"/>
      <c r="S60" s="87"/>
    </row>
    <row r="61" spans="1:19" x14ac:dyDescent="0.25">
      <c r="A61" s="43"/>
      <c r="B61" s="43" t="s">
        <v>167</v>
      </c>
      <c r="C61" s="43" t="s">
        <v>269</v>
      </c>
      <c r="D61" s="47" t="s">
        <v>269</v>
      </c>
      <c r="E61" s="43" t="s">
        <v>269</v>
      </c>
      <c r="F61" s="87">
        <v>9000</v>
      </c>
      <c r="G61" s="43">
        <v>0.05</v>
      </c>
      <c r="H61" s="43">
        <v>0.84097222222222223</v>
      </c>
      <c r="I61" s="43">
        <v>0</v>
      </c>
      <c r="J61" s="43">
        <v>0</v>
      </c>
      <c r="K61" s="43">
        <v>0.89097222222222228</v>
      </c>
      <c r="L61" s="87">
        <v>0</v>
      </c>
      <c r="M61" s="87">
        <v>0</v>
      </c>
      <c r="N61" s="87">
        <v>0</v>
      </c>
      <c r="O61" s="43">
        <v>0</v>
      </c>
      <c r="P61" s="43">
        <v>0</v>
      </c>
      <c r="Q61" s="43">
        <v>0</v>
      </c>
      <c r="R61" s="87"/>
      <c r="S61" s="87"/>
    </row>
    <row r="62" spans="1:19" x14ac:dyDescent="0.25">
      <c r="A62" s="43"/>
      <c r="B62" s="43" t="s">
        <v>167</v>
      </c>
      <c r="C62" s="43" t="s">
        <v>270</v>
      </c>
      <c r="D62" s="47" t="s">
        <v>402</v>
      </c>
      <c r="E62" s="43" t="s">
        <v>270</v>
      </c>
      <c r="F62" s="87">
        <v>18000</v>
      </c>
      <c r="G62" s="43">
        <v>0.1</v>
      </c>
      <c r="H62" s="43">
        <v>1.6819444444444445</v>
      </c>
      <c r="I62" s="43">
        <v>0</v>
      </c>
      <c r="J62" s="43">
        <v>0</v>
      </c>
      <c r="K62" s="43">
        <v>1.7819444444444446</v>
      </c>
      <c r="L62" s="87">
        <v>0</v>
      </c>
      <c r="M62" s="87">
        <v>0</v>
      </c>
      <c r="N62" s="87">
        <v>0</v>
      </c>
      <c r="O62" s="43">
        <v>0</v>
      </c>
      <c r="P62" s="43">
        <v>0</v>
      </c>
      <c r="Q62" s="43">
        <v>0</v>
      </c>
      <c r="R62" s="87"/>
      <c r="S62" s="87"/>
    </row>
    <row r="63" spans="1:19" x14ac:dyDescent="0.25">
      <c r="A63" s="43"/>
      <c r="B63" s="43" t="s">
        <v>167</v>
      </c>
      <c r="C63" s="43" t="s">
        <v>270</v>
      </c>
      <c r="D63" s="47" t="s">
        <v>275</v>
      </c>
      <c r="E63" s="43" t="s">
        <v>275</v>
      </c>
      <c r="F63" s="87">
        <v>9000</v>
      </c>
      <c r="G63" s="43">
        <v>0.05</v>
      </c>
      <c r="H63" s="43">
        <v>0.84097222222222223</v>
      </c>
      <c r="I63" s="43">
        <v>0</v>
      </c>
      <c r="J63" s="43">
        <v>0</v>
      </c>
      <c r="K63" s="43">
        <v>0.89097222222222228</v>
      </c>
      <c r="L63" s="87">
        <v>0</v>
      </c>
      <c r="M63" s="87">
        <v>0</v>
      </c>
      <c r="N63" s="87">
        <v>0</v>
      </c>
      <c r="O63" s="43">
        <v>0</v>
      </c>
      <c r="P63" s="43">
        <v>0</v>
      </c>
      <c r="Q63" s="43">
        <v>0</v>
      </c>
      <c r="R63" s="87"/>
      <c r="S63" s="87"/>
    </row>
    <row r="64" spans="1:19" x14ac:dyDescent="0.25">
      <c r="A64" s="43"/>
      <c r="B64" s="43" t="s">
        <v>167</v>
      </c>
      <c r="C64" s="43" t="s">
        <v>270</v>
      </c>
      <c r="D64" s="47" t="s">
        <v>278</v>
      </c>
      <c r="E64" s="43" t="s">
        <v>278</v>
      </c>
      <c r="F64" s="87">
        <v>9000</v>
      </c>
      <c r="G64" s="43">
        <v>0.05</v>
      </c>
      <c r="H64" s="43">
        <v>0.84097222222222223</v>
      </c>
      <c r="I64" s="43">
        <v>0</v>
      </c>
      <c r="J64" s="43">
        <v>0</v>
      </c>
      <c r="K64" s="43">
        <v>0.89097222222222228</v>
      </c>
      <c r="L64" s="87">
        <v>0</v>
      </c>
      <c r="M64" s="87">
        <v>0</v>
      </c>
      <c r="N64" s="87">
        <v>0</v>
      </c>
      <c r="O64" s="43">
        <v>0</v>
      </c>
      <c r="P64" s="43">
        <v>0</v>
      </c>
      <c r="Q64" s="43">
        <v>0</v>
      </c>
      <c r="R64" s="87"/>
      <c r="S64" s="87"/>
    </row>
    <row r="65" spans="1:19" x14ac:dyDescent="0.25">
      <c r="A65" s="43"/>
      <c r="B65" s="43" t="s">
        <v>167</v>
      </c>
      <c r="C65" s="43" t="s">
        <v>272</v>
      </c>
      <c r="D65" s="47" t="s">
        <v>402</v>
      </c>
      <c r="E65" s="43" t="s">
        <v>272</v>
      </c>
      <c r="F65" s="87">
        <v>9000</v>
      </c>
      <c r="G65" s="43">
        <v>0.05</v>
      </c>
      <c r="H65" s="43">
        <v>0.84097222222222223</v>
      </c>
      <c r="I65" s="43">
        <v>0</v>
      </c>
      <c r="J65" s="43">
        <v>0</v>
      </c>
      <c r="K65" s="43">
        <v>0.89097222222222228</v>
      </c>
      <c r="L65" s="87">
        <v>0</v>
      </c>
      <c r="M65" s="87">
        <v>0</v>
      </c>
      <c r="N65" s="87">
        <v>0</v>
      </c>
      <c r="O65" s="43">
        <v>0</v>
      </c>
      <c r="P65" s="43">
        <v>0</v>
      </c>
      <c r="Q65" s="43">
        <v>0</v>
      </c>
      <c r="R65" s="87"/>
      <c r="S65" s="87"/>
    </row>
    <row r="66" spans="1:19" x14ac:dyDescent="0.25">
      <c r="A66" s="43"/>
      <c r="B66" s="43" t="s">
        <v>167</v>
      </c>
      <c r="C66" s="43" t="s">
        <v>272</v>
      </c>
      <c r="D66" s="47" t="s">
        <v>272</v>
      </c>
      <c r="E66" s="43" t="s">
        <v>272</v>
      </c>
      <c r="F66" s="87">
        <v>9000</v>
      </c>
      <c r="G66" s="43">
        <v>0.05</v>
      </c>
      <c r="H66" s="43">
        <v>0.84097222222222223</v>
      </c>
      <c r="I66" s="43">
        <v>0</v>
      </c>
      <c r="J66" s="43">
        <v>0</v>
      </c>
      <c r="K66" s="43">
        <v>0.89097222222222228</v>
      </c>
      <c r="L66" s="87">
        <v>0</v>
      </c>
      <c r="M66" s="87">
        <v>0</v>
      </c>
      <c r="N66" s="87">
        <v>0</v>
      </c>
      <c r="O66" s="43">
        <v>0</v>
      </c>
      <c r="P66" s="43">
        <v>0</v>
      </c>
      <c r="Q66" s="43">
        <v>0</v>
      </c>
      <c r="R66" s="87"/>
      <c r="S66" s="87"/>
    </row>
    <row r="67" spans="1:19" x14ac:dyDescent="0.25">
      <c r="A67" s="43"/>
      <c r="B67" s="43" t="s">
        <v>167</v>
      </c>
      <c r="C67" s="43" t="s">
        <v>134</v>
      </c>
      <c r="D67" s="47" t="s">
        <v>402</v>
      </c>
      <c r="E67" s="43" t="s">
        <v>134</v>
      </c>
      <c r="F67" s="87">
        <v>9000</v>
      </c>
      <c r="G67" s="43">
        <v>0.05</v>
      </c>
      <c r="H67" s="43">
        <v>0.84097222222222223</v>
      </c>
      <c r="I67" s="43">
        <v>0</v>
      </c>
      <c r="J67" s="43">
        <v>0</v>
      </c>
      <c r="K67" s="43">
        <v>0.89097222222222228</v>
      </c>
      <c r="L67" s="87">
        <v>0</v>
      </c>
      <c r="M67" s="87">
        <v>0</v>
      </c>
      <c r="N67" s="87">
        <v>0</v>
      </c>
      <c r="O67" s="43">
        <v>0</v>
      </c>
      <c r="P67" s="43">
        <v>0</v>
      </c>
      <c r="Q67" s="43">
        <v>0</v>
      </c>
      <c r="R67" s="87"/>
      <c r="S67" s="87"/>
    </row>
    <row r="68" spans="1:19" x14ac:dyDescent="0.25">
      <c r="A68" s="43"/>
      <c r="B68" s="43" t="s">
        <v>167</v>
      </c>
      <c r="C68" s="43" t="s">
        <v>134</v>
      </c>
      <c r="D68" s="47" t="s">
        <v>134</v>
      </c>
      <c r="E68" s="43" t="s">
        <v>134</v>
      </c>
      <c r="F68" s="87">
        <v>9000</v>
      </c>
      <c r="G68" s="43">
        <v>0.05</v>
      </c>
      <c r="H68" s="43">
        <v>0.84097222222222223</v>
      </c>
      <c r="I68" s="43">
        <v>0</v>
      </c>
      <c r="J68" s="43">
        <v>0</v>
      </c>
      <c r="K68" s="43">
        <v>0.89097222222222228</v>
      </c>
      <c r="L68" s="87">
        <v>0</v>
      </c>
      <c r="M68" s="87">
        <v>0</v>
      </c>
      <c r="N68" s="87">
        <v>0</v>
      </c>
      <c r="O68" s="43">
        <v>0</v>
      </c>
      <c r="P68" s="43">
        <v>0</v>
      </c>
      <c r="Q68" s="43">
        <v>0</v>
      </c>
      <c r="R68" s="87"/>
      <c r="S68" s="87"/>
    </row>
    <row r="69" spans="1:19" x14ac:dyDescent="0.25">
      <c r="A69" s="43"/>
      <c r="B69" s="43" t="s">
        <v>167</v>
      </c>
      <c r="C69" s="43" t="s">
        <v>273</v>
      </c>
      <c r="D69" s="47" t="s">
        <v>402</v>
      </c>
      <c r="E69" s="43" t="s">
        <v>273</v>
      </c>
      <c r="F69" s="87">
        <v>18000</v>
      </c>
      <c r="G69" s="43">
        <v>0.1</v>
      </c>
      <c r="H69" s="43">
        <v>1.6819444444444445</v>
      </c>
      <c r="I69" s="43">
        <v>0</v>
      </c>
      <c r="J69" s="43">
        <v>0</v>
      </c>
      <c r="K69" s="43">
        <v>1.7819444444444446</v>
      </c>
      <c r="L69" s="87">
        <v>0</v>
      </c>
      <c r="M69" s="87">
        <v>0</v>
      </c>
      <c r="N69" s="87">
        <v>0</v>
      </c>
      <c r="O69" s="43">
        <v>0</v>
      </c>
      <c r="P69" s="43">
        <v>0</v>
      </c>
      <c r="Q69" s="43">
        <v>0</v>
      </c>
      <c r="R69" s="87"/>
      <c r="S69" s="87"/>
    </row>
    <row r="70" spans="1:19" x14ac:dyDescent="0.25">
      <c r="A70" s="43"/>
      <c r="B70" s="43" t="s">
        <v>167</v>
      </c>
      <c r="C70" s="43" t="s">
        <v>273</v>
      </c>
      <c r="D70" s="47" t="s">
        <v>274</v>
      </c>
      <c r="E70" s="43" t="s">
        <v>274</v>
      </c>
      <c r="F70" s="87">
        <v>9000</v>
      </c>
      <c r="G70" s="43">
        <v>0.05</v>
      </c>
      <c r="H70" s="43">
        <v>0.84097222222222223</v>
      </c>
      <c r="I70" s="43">
        <v>0</v>
      </c>
      <c r="J70" s="43">
        <v>0</v>
      </c>
      <c r="K70" s="43">
        <v>0.89097222222222228</v>
      </c>
      <c r="L70" s="87">
        <v>0</v>
      </c>
      <c r="M70" s="87">
        <v>0</v>
      </c>
      <c r="N70" s="87">
        <v>0</v>
      </c>
      <c r="O70" s="43">
        <v>0</v>
      </c>
      <c r="P70" s="43">
        <v>0</v>
      </c>
      <c r="Q70" s="43">
        <v>0</v>
      </c>
      <c r="R70" s="87"/>
      <c r="S70" s="87"/>
    </row>
    <row r="71" spans="1:19" x14ac:dyDescent="0.25">
      <c r="A71" s="43"/>
      <c r="B71" s="43" t="s">
        <v>167</v>
      </c>
      <c r="C71" s="43" t="s">
        <v>273</v>
      </c>
      <c r="D71" s="47" t="s">
        <v>277</v>
      </c>
      <c r="E71" s="43" t="s">
        <v>277</v>
      </c>
      <c r="F71" s="87">
        <v>9000</v>
      </c>
      <c r="G71" s="43">
        <v>0.05</v>
      </c>
      <c r="H71" s="43">
        <v>0.84097222222222223</v>
      </c>
      <c r="I71" s="43">
        <v>0</v>
      </c>
      <c r="J71" s="43">
        <v>0</v>
      </c>
      <c r="K71" s="43">
        <v>0.89097222222222228</v>
      </c>
      <c r="L71" s="87">
        <v>0</v>
      </c>
      <c r="M71" s="87">
        <v>0</v>
      </c>
      <c r="N71" s="87">
        <v>0</v>
      </c>
      <c r="O71" s="43">
        <v>0</v>
      </c>
      <c r="P71" s="43">
        <v>0</v>
      </c>
      <c r="Q71" s="43">
        <v>0</v>
      </c>
      <c r="R71" s="87"/>
      <c r="S71" s="87"/>
    </row>
    <row r="72" spans="1:19" x14ac:dyDescent="0.25">
      <c r="A72" s="43"/>
      <c r="B72" s="43" t="s">
        <v>167</v>
      </c>
      <c r="C72" s="43" t="s">
        <v>271</v>
      </c>
      <c r="D72" s="47" t="s">
        <v>402</v>
      </c>
      <c r="E72" s="43" t="s">
        <v>271</v>
      </c>
      <c r="F72" s="87">
        <v>9000</v>
      </c>
      <c r="G72" s="43">
        <v>0.05</v>
      </c>
      <c r="H72" s="43">
        <v>0.84097222222222223</v>
      </c>
      <c r="I72" s="43">
        <v>0</v>
      </c>
      <c r="J72" s="43">
        <v>0</v>
      </c>
      <c r="K72" s="43">
        <v>0.89097222222222228</v>
      </c>
      <c r="L72" s="87">
        <v>0</v>
      </c>
      <c r="M72" s="87">
        <v>0</v>
      </c>
      <c r="N72" s="87">
        <v>0</v>
      </c>
      <c r="O72" s="43">
        <v>0</v>
      </c>
      <c r="P72" s="43">
        <v>0</v>
      </c>
      <c r="Q72" s="43">
        <v>0</v>
      </c>
      <c r="R72" s="87"/>
      <c r="S72" s="87"/>
    </row>
    <row r="73" spans="1:19" x14ac:dyDescent="0.25">
      <c r="A73" s="43"/>
      <c r="B73" s="43" t="s">
        <v>167</v>
      </c>
      <c r="C73" s="43" t="s">
        <v>271</v>
      </c>
      <c r="D73" s="47" t="s">
        <v>271</v>
      </c>
      <c r="E73" s="43" t="s">
        <v>271</v>
      </c>
      <c r="F73" s="87">
        <v>9000</v>
      </c>
      <c r="G73" s="43">
        <v>0.05</v>
      </c>
      <c r="H73" s="43">
        <v>0.84097222222222223</v>
      </c>
      <c r="I73" s="43">
        <v>0</v>
      </c>
      <c r="J73" s="43">
        <v>0</v>
      </c>
      <c r="K73" s="43">
        <v>0.89097222222222228</v>
      </c>
      <c r="L73" s="87">
        <v>0</v>
      </c>
      <c r="M73" s="87">
        <v>0</v>
      </c>
      <c r="N73" s="87">
        <v>0</v>
      </c>
      <c r="O73" s="43">
        <v>0</v>
      </c>
      <c r="P73" s="43">
        <v>0</v>
      </c>
      <c r="Q73" s="43">
        <v>0</v>
      </c>
      <c r="R73" s="87"/>
      <c r="S73" s="87"/>
    </row>
    <row r="74" spans="1:19" x14ac:dyDescent="0.25">
      <c r="A74" s="43"/>
      <c r="B74" s="43" t="s">
        <v>163</v>
      </c>
      <c r="C74" s="43" t="s">
        <v>364</v>
      </c>
      <c r="D74" s="47" t="s">
        <v>364</v>
      </c>
      <c r="E74" s="43" t="s">
        <v>163</v>
      </c>
      <c r="F74" s="87">
        <v>90000</v>
      </c>
      <c r="G74" s="43">
        <v>0.5</v>
      </c>
      <c r="H74" s="43">
        <v>8.4097222222222214</v>
      </c>
      <c r="I74" s="43">
        <v>5.7638888888888892E-2</v>
      </c>
      <c r="J74" s="43">
        <v>0.4777777777777778</v>
      </c>
      <c r="K74" s="43">
        <v>8.9097222222222214</v>
      </c>
      <c r="L74" s="87">
        <v>0.53541666666666665</v>
      </c>
      <c r="M74" s="87">
        <v>9977</v>
      </c>
      <c r="N74" s="87">
        <v>2323</v>
      </c>
      <c r="O74" s="43">
        <v>7654</v>
      </c>
      <c r="P74" s="43">
        <v>0</v>
      </c>
      <c r="Q74" s="43">
        <v>9977</v>
      </c>
      <c r="R74" s="87"/>
      <c r="S74" s="87"/>
    </row>
    <row r="75" spans="1:19" x14ac:dyDescent="0.25">
      <c r="A75" s="43"/>
      <c r="B75" s="43" t="s">
        <v>163</v>
      </c>
      <c r="C75" s="43" t="s">
        <v>134</v>
      </c>
      <c r="D75" s="47" t="s">
        <v>402</v>
      </c>
      <c r="E75" s="43" t="s">
        <v>134</v>
      </c>
      <c r="F75" s="87">
        <v>9000</v>
      </c>
      <c r="G75" s="43">
        <v>0.05</v>
      </c>
      <c r="H75" s="43">
        <v>0.84097222222222223</v>
      </c>
      <c r="I75" s="43">
        <v>0</v>
      </c>
      <c r="J75" s="43">
        <v>0</v>
      </c>
      <c r="K75" s="43">
        <v>0.89097222222222228</v>
      </c>
      <c r="L75" s="87">
        <v>0</v>
      </c>
      <c r="M75" s="87">
        <v>0</v>
      </c>
      <c r="N75" s="87">
        <v>0</v>
      </c>
      <c r="O75" s="43">
        <v>0</v>
      </c>
      <c r="P75" s="43">
        <v>0</v>
      </c>
      <c r="Q75" s="43">
        <v>0</v>
      </c>
      <c r="R75" s="87"/>
      <c r="S75" s="87"/>
    </row>
    <row r="76" spans="1:19" x14ac:dyDescent="0.25">
      <c r="A76" s="43"/>
      <c r="B76" s="43" t="s">
        <v>163</v>
      </c>
      <c r="C76" s="43" t="s">
        <v>134</v>
      </c>
      <c r="D76" s="47" t="s">
        <v>134</v>
      </c>
      <c r="E76" s="43" t="s">
        <v>134</v>
      </c>
      <c r="F76" s="87">
        <v>9000</v>
      </c>
      <c r="G76" s="43">
        <v>0.05</v>
      </c>
      <c r="H76" s="43">
        <v>0.84097222222222223</v>
      </c>
      <c r="I76" s="43">
        <v>0</v>
      </c>
      <c r="J76" s="43">
        <v>0</v>
      </c>
      <c r="K76" s="43">
        <v>0.89097222222222228</v>
      </c>
      <c r="L76" s="87">
        <v>0</v>
      </c>
      <c r="M76" s="87">
        <v>0</v>
      </c>
      <c r="N76" s="87">
        <v>0</v>
      </c>
      <c r="O76" s="43">
        <v>0</v>
      </c>
      <c r="P76" s="43">
        <v>0</v>
      </c>
      <c r="Q76" s="43">
        <v>0</v>
      </c>
      <c r="R76" s="87"/>
      <c r="S76" s="87"/>
    </row>
    <row r="77" spans="1:19" x14ac:dyDescent="0.25">
      <c r="A77" s="43"/>
      <c r="B77" s="43" t="s">
        <v>163</v>
      </c>
      <c r="C77" s="43" t="s">
        <v>270</v>
      </c>
      <c r="D77" s="47" t="s">
        <v>402</v>
      </c>
      <c r="E77" s="43" t="s">
        <v>270</v>
      </c>
      <c r="F77" s="87">
        <v>18000</v>
      </c>
      <c r="G77" s="43">
        <v>0.1</v>
      </c>
      <c r="H77" s="43">
        <v>1.6819444444444445</v>
      </c>
      <c r="I77" s="43">
        <v>0</v>
      </c>
      <c r="J77" s="43">
        <v>0.30277777777777776</v>
      </c>
      <c r="K77" s="43">
        <v>1.7819444444444446</v>
      </c>
      <c r="L77" s="87">
        <v>0.30277777777777776</v>
      </c>
      <c r="M77" s="87">
        <v>4654</v>
      </c>
      <c r="N77" s="87">
        <v>0</v>
      </c>
      <c r="O77" s="43">
        <v>4654</v>
      </c>
      <c r="P77" s="43">
        <v>0</v>
      </c>
      <c r="Q77" s="43">
        <v>4654</v>
      </c>
      <c r="R77" s="87"/>
      <c r="S77" s="87"/>
    </row>
    <row r="78" spans="1:19" x14ac:dyDescent="0.25">
      <c r="A78" s="43"/>
      <c r="B78" s="43" t="s">
        <v>163</v>
      </c>
      <c r="C78" s="43" t="s">
        <v>270</v>
      </c>
      <c r="D78" s="47" t="s">
        <v>275</v>
      </c>
      <c r="E78" s="43" t="s">
        <v>275</v>
      </c>
      <c r="F78" s="87">
        <v>9000</v>
      </c>
      <c r="G78" s="43">
        <v>0.05</v>
      </c>
      <c r="H78" s="43">
        <v>0.84097222222222223</v>
      </c>
      <c r="I78" s="43">
        <v>0</v>
      </c>
      <c r="J78" s="43">
        <v>0.16180555555555556</v>
      </c>
      <c r="K78" s="43">
        <v>0.89097222222222228</v>
      </c>
      <c r="L78" s="87">
        <v>0.16180555555555556</v>
      </c>
      <c r="M78" s="87">
        <v>3422</v>
      </c>
      <c r="N78" s="87">
        <v>0</v>
      </c>
      <c r="O78" s="43">
        <v>3422</v>
      </c>
      <c r="P78" s="43">
        <v>0</v>
      </c>
      <c r="Q78" s="43">
        <v>3422</v>
      </c>
      <c r="R78" s="87"/>
      <c r="S78" s="87"/>
    </row>
    <row r="79" spans="1:19" x14ac:dyDescent="0.25">
      <c r="A79" s="43"/>
      <c r="B79" s="43" t="s">
        <v>163</v>
      </c>
      <c r="C79" s="43" t="s">
        <v>270</v>
      </c>
      <c r="D79" s="47" t="s">
        <v>278</v>
      </c>
      <c r="E79" s="43" t="s">
        <v>278</v>
      </c>
      <c r="F79" s="87">
        <v>9000</v>
      </c>
      <c r="G79" s="43">
        <v>0.05</v>
      </c>
      <c r="H79" s="43">
        <v>0.84097222222222223</v>
      </c>
      <c r="I79" s="43">
        <v>0</v>
      </c>
      <c r="J79" s="43">
        <v>0.14097222222222222</v>
      </c>
      <c r="K79" s="43">
        <v>0.89097222222222228</v>
      </c>
      <c r="L79" s="87">
        <v>0.14097222222222222</v>
      </c>
      <c r="M79" s="87">
        <v>1232</v>
      </c>
      <c r="N79" s="87">
        <v>0</v>
      </c>
      <c r="O79" s="43">
        <v>1232</v>
      </c>
      <c r="P79" s="43">
        <v>0</v>
      </c>
      <c r="Q79" s="43">
        <v>1232</v>
      </c>
      <c r="R79" s="87"/>
      <c r="S79" s="87"/>
    </row>
    <row r="80" spans="1:19" x14ac:dyDescent="0.25">
      <c r="A80" s="43"/>
      <c r="B80" s="43" t="s">
        <v>163</v>
      </c>
      <c r="C80" s="43" t="s">
        <v>272</v>
      </c>
      <c r="D80" s="47" t="s">
        <v>402</v>
      </c>
      <c r="E80" s="43" t="s">
        <v>272</v>
      </c>
      <c r="F80" s="87">
        <v>9000</v>
      </c>
      <c r="G80" s="43">
        <v>0.05</v>
      </c>
      <c r="H80" s="43">
        <v>0.84097222222222223</v>
      </c>
      <c r="I80" s="43">
        <v>0</v>
      </c>
      <c r="J80" s="43">
        <v>0</v>
      </c>
      <c r="K80" s="43">
        <v>0.89097222222222228</v>
      </c>
      <c r="L80" s="87">
        <v>0</v>
      </c>
      <c r="M80" s="87">
        <v>0</v>
      </c>
      <c r="N80" s="87">
        <v>0</v>
      </c>
      <c r="O80" s="43">
        <v>0</v>
      </c>
      <c r="P80" s="43">
        <v>0</v>
      </c>
      <c r="Q80" s="43">
        <v>0</v>
      </c>
      <c r="R80" s="87"/>
      <c r="S80" s="87"/>
    </row>
    <row r="81" spans="1:19" x14ac:dyDescent="0.25">
      <c r="A81" s="43"/>
      <c r="B81" s="43" t="s">
        <v>163</v>
      </c>
      <c r="C81" s="43" t="s">
        <v>272</v>
      </c>
      <c r="D81" s="47" t="s">
        <v>272</v>
      </c>
      <c r="E81" s="43" t="s">
        <v>272</v>
      </c>
      <c r="F81" s="87">
        <v>9000</v>
      </c>
      <c r="G81" s="43">
        <v>0.05</v>
      </c>
      <c r="H81" s="43">
        <v>0.84097222222222223</v>
      </c>
      <c r="I81" s="43">
        <v>0</v>
      </c>
      <c r="J81" s="43">
        <v>0</v>
      </c>
      <c r="K81" s="43">
        <v>0.89097222222222228</v>
      </c>
      <c r="L81" s="87">
        <v>0</v>
      </c>
      <c r="M81" s="87">
        <v>0</v>
      </c>
      <c r="N81" s="87">
        <v>0</v>
      </c>
      <c r="O81" s="43">
        <v>0</v>
      </c>
      <c r="P81" s="43">
        <v>0</v>
      </c>
      <c r="Q81" s="43">
        <v>0</v>
      </c>
      <c r="R81" s="87"/>
      <c r="S81" s="87"/>
    </row>
    <row r="82" spans="1:19" x14ac:dyDescent="0.25">
      <c r="A82" s="43"/>
      <c r="B82" s="43" t="s">
        <v>163</v>
      </c>
      <c r="C82" s="43" t="s">
        <v>273</v>
      </c>
      <c r="D82" s="47" t="s">
        <v>402</v>
      </c>
      <c r="E82" s="43" t="s">
        <v>273</v>
      </c>
      <c r="F82" s="87">
        <v>18000</v>
      </c>
      <c r="G82" s="43">
        <v>0.1</v>
      </c>
      <c r="H82" s="43">
        <v>1.6819444444444445</v>
      </c>
      <c r="I82" s="43">
        <v>0</v>
      </c>
      <c r="J82" s="43">
        <v>0</v>
      </c>
      <c r="K82" s="43">
        <v>1.7819444444444446</v>
      </c>
      <c r="L82" s="87">
        <v>0</v>
      </c>
      <c r="M82" s="87">
        <v>0</v>
      </c>
      <c r="N82" s="87">
        <v>0</v>
      </c>
      <c r="O82" s="43">
        <v>0</v>
      </c>
      <c r="P82" s="43">
        <v>0</v>
      </c>
      <c r="Q82" s="43">
        <v>0</v>
      </c>
      <c r="R82" s="87"/>
      <c r="S82" s="87"/>
    </row>
    <row r="83" spans="1:19" x14ac:dyDescent="0.25">
      <c r="A83" s="43"/>
      <c r="B83" s="43" t="s">
        <v>163</v>
      </c>
      <c r="C83" s="43" t="s">
        <v>273</v>
      </c>
      <c r="D83" s="47" t="s">
        <v>274</v>
      </c>
      <c r="E83" s="43" t="s">
        <v>274</v>
      </c>
      <c r="F83" s="87">
        <v>9000</v>
      </c>
      <c r="G83" s="43">
        <v>0.05</v>
      </c>
      <c r="H83" s="43">
        <v>0.84097222222222223</v>
      </c>
      <c r="I83" s="43">
        <v>0</v>
      </c>
      <c r="J83" s="43">
        <v>0</v>
      </c>
      <c r="K83" s="43">
        <v>0.89097222222222228</v>
      </c>
      <c r="L83" s="87">
        <v>0</v>
      </c>
      <c r="M83" s="87">
        <v>0</v>
      </c>
      <c r="N83" s="87">
        <v>0</v>
      </c>
      <c r="O83" s="43">
        <v>0</v>
      </c>
      <c r="P83" s="43">
        <v>0</v>
      </c>
      <c r="Q83" s="43">
        <v>0</v>
      </c>
      <c r="R83" s="87"/>
      <c r="S83" s="87"/>
    </row>
    <row r="84" spans="1:19" x14ac:dyDescent="0.25">
      <c r="A84" s="43"/>
      <c r="B84" s="43" t="s">
        <v>163</v>
      </c>
      <c r="C84" s="43" t="s">
        <v>273</v>
      </c>
      <c r="D84" s="47" t="s">
        <v>277</v>
      </c>
      <c r="E84" s="43" t="s">
        <v>277</v>
      </c>
      <c r="F84" s="87">
        <v>9000</v>
      </c>
      <c r="G84" s="43">
        <v>0.05</v>
      </c>
      <c r="H84" s="43">
        <v>0.84097222222222223</v>
      </c>
      <c r="I84" s="43">
        <v>0</v>
      </c>
      <c r="J84" s="43">
        <v>0</v>
      </c>
      <c r="K84" s="43">
        <v>0.89097222222222228</v>
      </c>
      <c r="L84" s="87">
        <v>0</v>
      </c>
      <c r="M84" s="87">
        <v>0</v>
      </c>
      <c r="N84" s="87">
        <v>0</v>
      </c>
      <c r="O84" s="43">
        <v>0</v>
      </c>
      <c r="P84" s="43">
        <v>0</v>
      </c>
      <c r="Q84" s="43">
        <v>0</v>
      </c>
      <c r="R84" s="87"/>
      <c r="S84" s="87"/>
    </row>
    <row r="85" spans="1:19" x14ac:dyDescent="0.25">
      <c r="A85" s="43"/>
      <c r="B85" s="43" t="s">
        <v>163</v>
      </c>
      <c r="C85" s="43" t="s">
        <v>269</v>
      </c>
      <c r="D85" s="47" t="s">
        <v>402</v>
      </c>
      <c r="E85" s="43" t="s">
        <v>269</v>
      </c>
      <c r="F85" s="87">
        <v>9000</v>
      </c>
      <c r="G85" s="43">
        <v>0.05</v>
      </c>
      <c r="H85" s="43">
        <v>0.84097222222222223</v>
      </c>
      <c r="I85" s="43">
        <v>0</v>
      </c>
      <c r="J85" s="43">
        <v>0</v>
      </c>
      <c r="K85" s="43">
        <v>0.89097222222222228</v>
      </c>
      <c r="L85" s="87">
        <v>0</v>
      </c>
      <c r="M85" s="87">
        <v>0</v>
      </c>
      <c r="N85" s="87">
        <v>0</v>
      </c>
      <c r="O85" s="43">
        <v>0</v>
      </c>
      <c r="P85" s="43">
        <v>0</v>
      </c>
      <c r="Q85" s="43">
        <v>0</v>
      </c>
      <c r="R85" s="87"/>
      <c r="S85" s="87"/>
    </row>
    <row r="86" spans="1:19" x14ac:dyDescent="0.25">
      <c r="A86" s="43"/>
      <c r="B86" s="43" t="s">
        <v>163</v>
      </c>
      <c r="C86" s="43" t="s">
        <v>269</v>
      </c>
      <c r="D86" s="47" t="s">
        <v>269</v>
      </c>
      <c r="E86" s="43" t="s">
        <v>269</v>
      </c>
      <c r="F86" s="87">
        <v>9000</v>
      </c>
      <c r="G86" s="43">
        <v>0.05</v>
      </c>
      <c r="H86" s="43">
        <v>0.84097222222222223</v>
      </c>
      <c r="I86" s="43">
        <v>0</v>
      </c>
      <c r="J86" s="43">
        <v>0</v>
      </c>
      <c r="K86" s="43">
        <v>0.89097222222222228</v>
      </c>
      <c r="L86" s="87">
        <v>0</v>
      </c>
      <c r="M86" s="87">
        <v>0</v>
      </c>
      <c r="N86" s="87">
        <v>0</v>
      </c>
      <c r="O86" s="43">
        <v>0</v>
      </c>
      <c r="P86" s="43">
        <v>0</v>
      </c>
      <c r="Q86" s="43">
        <v>0</v>
      </c>
      <c r="R86" s="87"/>
      <c r="S86" s="87"/>
    </row>
    <row r="87" spans="1:19" x14ac:dyDescent="0.25">
      <c r="A87" s="43"/>
      <c r="B87" s="43" t="s">
        <v>163</v>
      </c>
      <c r="C87" s="43" t="s">
        <v>271</v>
      </c>
      <c r="D87" s="47" t="s">
        <v>402</v>
      </c>
      <c r="E87" s="43" t="s">
        <v>271</v>
      </c>
      <c r="F87" s="87">
        <v>9000</v>
      </c>
      <c r="G87" s="43">
        <v>0.05</v>
      </c>
      <c r="H87" s="43">
        <v>0.84097222222222223</v>
      </c>
      <c r="I87" s="43">
        <v>0</v>
      </c>
      <c r="J87" s="43">
        <v>0</v>
      </c>
      <c r="K87" s="43">
        <v>0.89097222222222228</v>
      </c>
      <c r="L87" s="87">
        <v>0</v>
      </c>
      <c r="M87" s="87">
        <v>0</v>
      </c>
      <c r="N87" s="87">
        <v>0</v>
      </c>
      <c r="O87" s="43">
        <v>0</v>
      </c>
      <c r="P87" s="43">
        <v>0</v>
      </c>
      <c r="Q87" s="43">
        <v>0</v>
      </c>
      <c r="R87" s="87"/>
      <c r="S87" s="87"/>
    </row>
    <row r="88" spans="1:19" x14ac:dyDescent="0.25">
      <c r="A88" s="43"/>
      <c r="B88" s="43" t="s">
        <v>163</v>
      </c>
      <c r="C88" s="43" t="s">
        <v>271</v>
      </c>
      <c r="D88" s="47" t="s">
        <v>271</v>
      </c>
      <c r="E88" s="43" t="s">
        <v>271</v>
      </c>
      <c r="F88" s="87">
        <v>9000</v>
      </c>
      <c r="G88" s="43">
        <v>0.05</v>
      </c>
      <c r="H88" s="43">
        <v>0.84097222222222223</v>
      </c>
      <c r="I88" s="43">
        <v>0</v>
      </c>
      <c r="J88" s="43">
        <v>0</v>
      </c>
      <c r="K88" s="43">
        <v>0.89097222222222228</v>
      </c>
      <c r="L88" s="87">
        <v>0</v>
      </c>
      <c r="M88" s="87">
        <v>0</v>
      </c>
      <c r="N88" s="87">
        <v>0</v>
      </c>
      <c r="O88" s="43">
        <v>0</v>
      </c>
      <c r="P88" s="43">
        <v>0</v>
      </c>
      <c r="Q88" s="43">
        <v>0</v>
      </c>
      <c r="R88" s="87"/>
      <c r="S88" s="87"/>
    </row>
    <row r="89" spans="1:19" x14ac:dyDescent="0.25">
      <c r="A89" s="43"/>
      <c r="B89" s="43" t="s">
        <v>163</v>
      </c>
      <c r="C89" s="43" t="s">
        <v>267</v>
      </c>
      <c r="D89" s="47" t="s">
        <v>402</v>
      </c>
      <c r="E89" s="43" t="s">
        <v>267</v>
      </c>
      <c r="F89" s="87">
        <v>18000</v>
      </c>
      <c r="G89" s="43">
        <v>0.1</v>
      </c>
      <c r="H89" s="43">
        <v>1.6819444444444445</v>
      </c>
      <c r="I89" s="43">
        <v>5.7638888888888892E-2</v>
      </c>
      <c r="J89" s="43">
        <v>0.17499999999999999</v>
      </c>
      <c r="K89" s="43">
        <v>1.7819444444444446</v>
      </c>
      <c r="L89" s="87">
        <v>0.2326388888888889</v>
      </c>
      <c r="M89" s="87">
        <v>5323</v>
      </c>
      <c r="N89" s="87">
        <v>2323</v>
      </c>
      <c r="O89" s="43">
        <v>3000</v>
      </c>
      <c r="P89" s="43">
        <v>0</v>
      </c>
      <c r="Q89" s="43">
        <v>5323</v>
      </c>
      <c r="R89" s="87"/>
      <c r="S89" s="87"/>
    </row>
    <row r="90" spans="1:19" x14ac:dyDescent="0.25">
      <c r="A90" s="43"/>
      <c r="B90" s="43" t="s">
        <v>163</v>
      </c>
      <c r="C90" s="43" t="s">
        <v>267</v>
      </c>
      <c r="D90" s="47" t="s">
        <v>268</v>
      </c>
      <c r="E90" s="43" t="s">
        <v>268</v>
      </c>
      <c r="F90" s="87">
        <v>9000</v>
      </c>
      <c r="G90" s="43">
        <v>0.05</v>
      </c>
      <c r="H90" s="43">
        <v>0.84097222222222223</v>
      </c>
      <c r="I90" s="43">
        <v>0</v>
      </c>
      <c r="J90" s="43">
        <v>0.17499999999999999</v>
      </c>
      <c r="K90" s="43">
        <v>0.89097222222222228</v>
      </c>
      <c r="L90" s="87">
        <v>0.17499999999999999</v>
      </c>
      <c r="M90" s="87">
        <v>3000</v>
      </c>
      <c r="N90" s="87">
        <v>0</v>
      </c>
      <c r="O90" s="43">
        <v>3000</v>
      </c>
      <c r="P90" s="43">
        <v>0</v>
      </c>
      <c r="Q90" s="43">
        <v>3000</v>
      </c>
      <c r="R90" s="87"/>
      <c r="S90" s="87"/>
    </row>
    <row r="91" spans="1:19" x14ac:dyDescent="0.25">
      <c r="A91" s="43"/>
      <c r="B91" s="43" t="s">
        <v>163</v>
      </c>
      <c r="C91" s="43" t="s">
        <v>267</v>
      </c>
      <c r="D91" s="47" t="s">
        <v>268</v>
      </c>
      <c r="E91" s="43" t="s">
        <v>268</v>
      </c>
      <c r="F91" s="87">
        <v>9000</v>
      </c>
      <c r="G91" s="43">
        <v>0.05</v>
      </c>
      <c r="H91" s="43">
        <v>0.84097222222222223</v>
      </c>
      <c r="I91" s="43">
        <v>5.7638888888888892E-2</v>
      </c>
      <c r="J91" s="43">
        <v>0</v>
      </c>
      <c r="K91" s="43">
        <v>0.89097222222222228</v>
      </c>
      <c r="L91" s="87">
        <v>5.7638888888888892E-2</v>
      </c>
      <c r="M91" s="87">
        <v>2323</v>
      </c>
      <c r="N91" s="87">
        <v>2323</v>
      </c>
      <c r="O91" s="43">
        <v>0</v>
      </c>
      <c r="P91" s="43">
        <v>0</v>
      </c>
      <c r="Q91" s="43">
        <v>2323</v>
      </c>
      <c r="R91" s="87"/>
      <c r="S91" s="87"/>
    </row>
    <row r="92" spans="1:19" x14ac:dyDescent="0.25">
      <c r="A92" s="43"/>
      <c r="B92" s="43" t="s">
        <v>162</v>
      </c>
      <c r="C92" s="43" t="s">
        <v>364</v>
      </c>
      <c r="D92" s="47" t="s">
        <v>364</v>
      </c>
      <c r="E92" s="43" t="s">
        <v>162</v>
      </c>
      <c r="F92" s="87">
        <v>90000</v>
      </c>
      <c r="G92" s="43">
        <v>0.5</v>
      </c>
      <c r="H92" s="43">
        <v>8.4097222222222214</v>
      </c>
      <c r="I92" s="43">
        <v>0.14166666666666666</v>
      </c>
      <c r="J92" s="43">
        <v>0.40208333333333335</v>
      </c>
      <c r="K92" s="43">
        <v>8.9097222222222214</v>
      </c>
      <c r="L92" s="87">
        <v>0.54374999999999996</v>
      </c>
      <c r="M92" s="87">
        <v>9008</v>
      </c>
      <c r="N92" s="87">
        <v>2342</v>
      </c>
      <c r="O92" s="43">
        <v>6666</v>
      </c>
      <c r="P92" s="43">
        <v>0</v>
      </c>
      <c r="Q92" s="43">
        <v>9008</v>
      </c>
      <c r="R92" s="87"/>
      <c r="S92" s="87"/>
    </row>
    <row r="93" spans="1:19" x14ac:dyDescent="0.25">
      <c r="A93" s="43"/>
      <c r="B93" s="43" t="s">
        <v>162</v>
      </c>
      <c r="C93" s="43" t="s">
        <v>271</v>
      </c>
      <c r="D93" s="47" t="s">
        <v>402</v>
      </c>
      <c r="E93" s="43" t="s">
        <v>271</v>
      </c>
      <c r="F93" s="87">
        <v>9000</v>
      </c>
      <c r="G93" s="43">
        <v>0.05</v>
      </c>
      <c r="H93" s="43">
        <v>0.84097222222222223</v>
      </c>
      <c r="I93" s="43">
        <v>0</v>
      </c>
      <c r="J93" s="43">
        <v>0</v>
      </c>
      <c r="K93" s="43">
        <v>0.89097222222222228</v>
      </c>
      <c r="L93" s="87">
        <v>0</v>
      </c>
      <c r="M93" s="87">
        <v>0</v>
      </c>
      <c r="N93" s="87">
        <v>0</v>
      </c>
      <c r="O93" s="43">
        <v>0</v>
      </c>
      <c r="P93" s="43">
        <v>0</v>
      </c>
      <c r="Q93" s="43">
        <v>0</v>
      </c>
      <c r="R93" s="87"/>
      <c r="S93" s="87"/>
    </row>
    <row r="94" spans="1:19" x14ac:dyDescent="0.25">
      <c r="A94" s="43"/>
      <c r="B94" s="43" t="s">
        <v>162</v>
      </c>
      <c r="C94" s="43" t="s">
        <v>271</v>
      </c>
      <c r="D94" s="47" t="s">
        <v>271</v>
      </c>
      <c r="E94" s="43" t="s">
        <v>271</v>
      </c>
      <c r="F94" s="87">
        <v>9000</v>
      </c>
      <c r="G94" s="43">
        <v>0.05</v>
      </c>
      <c r="H94" s="43">
        <v>0.84097222222222223</v>
      </c>
      <c r="I94" s="43">
        <v>0</v>
      </c>
      <c r="J94" s="43">
        <v>0</v>
      </c>
      <c r="K94" s="43">
        <v>0.89097222222222228</v>
      </c>
      <c r="L94" s="87">
        <v>0</v>
      </c>
      <c r="M94" s="87">
        <v>0</v>
      </c>
      <c r="N94" s="87">
        <v>0</v>
      </c>
      <c r="O94" s="43">
        <v>0</v>
      </c>
      <c r="P94" s="43">
        <v>0</v>
      </c>
      <c r="Q94" s="43">
        <v>0</v>
      </c>
      <c r="R94" s="87"/>
      <c r="S94" s="87"/>
    </row>
    <row r="95" spans="1:19" x14ac:dyDescent="0.25">
      <c r="A95" s="43"/>
      <c r="B95" s="43" t="s">
        <v>162</v>
      </c>
      <c r="C95" s="43" t="s">
        <v>272</v>
      </c>
      <c r="D95" s="47" t="s">
        <v>402</v>
      </c>
      <c r="E95" s="43" t="s">
        <v>272</v>
      </c>
      <c r="F95" s="87">
        <v>9000</v>
      </c>
      <c r="G95" s="43">
        <v>0.05</v>
      </c>
      <c r="H95" s="43">
        <v>0.84097222222222223</v>
      </c>
      <c r="I95" s="43">
        <v>0</v>
      </c>
      <c r="J95" s="43">
        <v>0</v>
      </c>
      <c r="K95" s="43">
        <v>0.89097222222222228</v>
      </c>
      <c r="L95" s="87">
        <v>0</v>
      </c>
      <c r="M95" s="87">
        <v>0</v>
      </c>
      <c r="N95" s="87">
        <v>0</v>
      </c>
      <c r="O95" s="43">
        <v>0</v>
      </c>
      <c r="P95" s="43">
        <v>0</v>
      </c>
      <c r="Q95" s="43">
        <v>0</v>
      </c>
      <c r="R95" s="87"/>
      <c r="S95" s="87"/>
    </row>
    <row r="96" spans="1:19" x14ac:dyDescent="0.25">
      <c r="A96" s="43"/>
      <c r="B96" s="43" t="s">
        <v>162</v>
      </c>
      <c r="C96" s="43" t="s">
        <v>272</v>
      </c>
      <c r="D96" s="47" t="s">
        <v>272</v>
      </c>
      <c r="E96" s="43" t="s">
        <v>272</v>
      </c>
      <c r="F96" s="87">
        <v>9000</v>
      </c>
      <c r="G96" s="43">
        <v>0.05</v>
      </c>
      <c r="H96" s="43">
        <v>0.84097222222222223</v>
      </c>
      <c r="I96" s="43">
        <v>0</v>
      </c>
      <c r="J96" s="43">
        <v>0</v>
      </c>
      <c r="K96" s="43">
        <v>0.89097222222222228</v>
      </c>
      <c r="L96" s="87">
        <v>0</v>
      </c>
      <c r="M96" s="87">
        <v>0</v>
      </c>
      <c r="N96" s="87">
        <v>0</v>
      </c>
      <c r="O96" s="43">
        <v>0</v>
      </c>
      <c r="P96" s="43">
        <v>0</v>
      </c>
      <c r="Q96" s="43">
        <v>0</v>
      </c>
      <c r="R96" s="87"/>
      <c r="S96" s="87"/>
    </row>
    <row r="97" spans="1:19" x14ac:dyDescent="0.25">
      <c r="A97" s="43"/>
      <c r="B97" s="43" t="s">
        <v>162</v>
      </c>
      <c r="C97" s="43" t="s">
        <v>134</v>
      </c>
      <c r="D97" s="47" t="s">
        <v>402</v>
      </c>
      <c r="E97" s="43" t="s">
        <v>134</v>
      </c>
      <c r="F97" s="87">
        <v>9000</v>
      </c>
      <c r="G97" s="43">
        <v>0.05</v>
      </c>
      <c r="H97" s="43">
        <v>0.84097222222222223</v>
      </c>
      <c r="I97" s="43">
        <v>0</v>
      </c>
      <c r="J97" s="43">
        <v>0</v>
      </c>
      <c r="K97" s="43">
        <v>0.89097222222222228</v>
      </c>
      <c r="L97" s="87">
        <v>0</v>
      </c>
      <c r="M97" s="87">
        <v>0</v>
      </c>
      <c r="N97" s="87">
        <v>0</v>
      </c>
      <c r="O97" s="43">
        <v>0</v>
      </c>
      <c r="P97" s="43">
        <v>0</v>
      </c>
      <c r="Q97" s="43">
        <v>0</v>
      </c>
      <c r="R97" s="87"/>
      <c r="S97" s="87"/>
    </row>
    <row r="98" spans="1:19" x14ac:dyDescent="0.25">
      <c r="A98" s="43"/>
      <c r="B98" s="43" t="s">
        <v>162</v>
      </c>
      <c r="C98" s="43" t="s">
        <v>134</v>
      </c>
      <c r="D98" s="47" t="s">
        <v>134</v>
      </c>
      <c r="E98" s="43" t="s">
        <v>134</v>
      </c>
      <c r="F98" s="87">
        <v>9000</v>
      </c>
      <c r="G98" s="43">
        <v>0.05</v>
      </c>
      <c r="H98" s="43">
        <v>0.84097222222222223</v>
      </c>
      <c r="I98" s="43">
        <v>0</v>
      </c>
      <c r="J98" s="43">
        <v>0</v>
      </c>
      <c r="K98" s="43">
        <v>0.89097222222222228</v>
      </c>
      <c r="L98" s="87">
        <v>0</v>
      </c>
      <c r="M98" s="87">
        <v>0</v>
      </c>
      <c r="N98" s="87">
        <v>0</v>
      </c>
      <c r="O98" s="43">
        <v>0</v>
      </c>
      <c r="P98" s="43">
        <v>0</v>
      </c>
      <c r="Q98" s="43">
        <v>0</v>
      </c>
      <c r="R98" s="87"/>
      <c r="S98" s="87"/>
    </row>
    <row r="99" spans="1:19" x14ac:dyDescent="0.25">
      <c r="A99" s="43"/>
      <c r="B99" s="43" t="s">
        <v>162</v>
      </c>
      <c r="C99" s="43" t="s">
        <v>270</v>
      </c>
      <c r="D99" s="47" t="s">
        <v>402</v>
      </c>
      <c r="E99" s="43" t="s">
        <v>270</v>
      </c>
      <c r="F99" s="87">
        <v>27000</v>
      </c>
      <c r="G99" s="43">
        <v>0.15</v>
      </c>
      <c r="H99" s="43">
        <v>2.5229166666666667</v>
      </c>
      <c r="I99" s="43">
        <v>0.14166666666666666</v>
      </c>
      <c r="J99" s="43">
        <v>0.25416666666666665</v>
      </c>
      <c r="K99" s="43">
        <v>2.6729166666666666</v>
      </c>
      <c r="L99" s="87">
        <v>0.39583333333333331</v>
      </c>
      <c r="M99" s="87">
        <v>6666</v>
      </c>
      <c r="N99" s="87">
        <v>2342</v>
      </c>
      <c r="O99" s="43">
        <v>4324</v>
      </c>
      <c r="P99" s="43">
        <v>0</v>
      </c>
      <c r="Q99" s="43">
        <v>6666</v>
      </c>
      <c r="R99" s="87"/>
      <c r="S99" s="87"/>
    </row>
    <row r="100" spans="1:19" x14ac:dyDescent="0.25">
      <c r="A100" s="43"/>
      <c r="B100" s="43" t="s">
        <v>162</v>
      </c>
      <c r="C100" s="43" t="s">
        <v>270</v>
      </c>
      <c r="D100" s="47" t="s">
        <v>275</v>
      </c>
      <c r="E100" s="43" t="s">
        <v>275</v>
      </c>
      <c r="F100" s="87">
        <v>9000</v>
      </c>
      <c r="G100" s="43">
        <v>0.05</v>
      </c>
      <c r="H100" s="43">
        <v>0.84097222222222223</v>
      </c>
      <c r="I100" s="43">
        <v>0</v>
      </c>
      <c r="J100" s="43">
        <v>0.11388888888888889</v>
      </c>
      <c r="K100" s="43">
        <v>0.89097222222222228</v>
      </c>
      <c r="L100" s="87">
        <v>0.11388888888888889</v>
      </c>
      <c r="M100" s="87">
        <v>2000</v>
      </c>
      <c r="N100" s="87">
        <v>0</v>
      </c>
      <c r="O100" s="43">
        <v>2000</v>
      </c>
      <c r="P100" s="43">
        <v>0</v>
      </c>
      <c r="Q100" s="43">
        <v>2000</v>
      </c>
      <c r="R100" s="87"/>
      <c r="S100" s="87"/>
    </row>
    <row r="101" spans="1:19" x14ac:dyDescent="0.25">
      <c r="A101" s="43"/>
      <c r="B101" s="43" t="s">
        <v>162</v>
      </c>
      <c r="C101" s="43" t="s">
        <v>270</v>
      </c>
      <c r="D101" s="47" t="s">
        <v>278</v>
      </c>
      <c r="E101" s="43" t="s">
        <v>278</v>
      </c>
      <c r="F101" s="87">
        <v>9000</v>
      </c>
      <c r="G101" s="43">
        <v>0.05</v>
      </c>
      <c r="H101" s="43">
        <v>0.84097222222222223</v>
      </c>
      <c r="I101" s="43">
        <v>0</v>
      </c>
      <c r="J101" s="43">
        <v>0.14027777777777778</v>
      </c>
      <c r="K101" s="43">
        <v>0.89097222222222228</v>
      </c>
      <c r="L101" s="87">
        <v>0.14027777777777778</v>
      </c>
      <c r="M101" s="87">
        <v>2324</v>
      </c>
      <c r="N101" s="87">
        <v>0</v>
      </c>
      <c r="O101" s="43">
        <v>2324</v>
      </c>
      <c r="P101" s="43">
        <v>0</v>
      </c>
      <c r="Q101" s="43">
        <v>2324</v>
      </c>
      <c r="R101" s="87"/>
      <c r="S101" s="87"/>
    </row>
    <row r="102" spans="1:19" x14ac:dyDescent="0.25">
      <c r="A102" s="43"/>
      <c r="B102" s="43" t="s">
        <v>162</v>
      </c>
      <c r="C102" s="43" t="s">
        <v>270</v>
      </c>
      <c r="D102" s="47" t="s">
        <v>278</v>
      </c>
      <c r="E102" s="43" t="s">
        <v>278</v>
      </c>
      <c r="F102" s="87">
        <v>9000</v>
      </c>
      <c r="G102" s="43">
        <v>0.05</v>
      </c>
      <c r="H102" s="43">
        <v>0.84097222222222223</v>
      </c>
      <c r="I102" s="43">
        <v>0.14166666666666666</v>
      </c>
      <c r="J102" s="43">
        <v>0</v>
      </c>
      <c r="K102" s="43">
        <v>0.89097222222222228</v>
      </c>
      <c r="L102" s="87">
        <v>0.14166666666666666</v>
      </c>
      <c r="M102" s="87">
        <v>2342</v>
      </c>
      <c r="N102" s="87">
        <v>2342</v>
      </c>
      <c r="O102" s="43">
        <v>0</v>
      </c>
      <c r="P102" s="43">
        <v>0</v>
      </c>
      <c r="Q102" s="43">
        <v>2342</v>
      </c>
      <c r="R102" s="87"/>
      <c r="S102" s="87"/>
    </row>
    <row r="103" spans="1:19" x14ac:dyDescent="0.25">
      <c r="A103" s="43"/>
      <c r="B103" s="43" t="s">
        <v>162</v>
      </c>
      <c r="C103" s="43" t="s">
        <v>267</v>
      </c>
      <c r="D103" s="47" t="s">
        <v>402</v>
      </c>
      <c r="E103" s="43" t="s">
        <v>267</v>
      </c>
      <c r="F103" s="87">
        <v>9000</v>
      </c>
      <c r="G103" s="43">
        <v>0.05</v>
      </c>
      <c r="H103" s="43">
        <v>0.84097222222222223</v>
      </c>
      <c r="I103" s="43">
        <v>0</v>
      </c>
      <c r="J103" s="43">
        <v>0.14791666666666667</v>
      </c>
      <c r="K103" s="43">
        <v>0.89097222222222228</v>
      </c>
      <c r="L103" s="87">
        <v>0.14791666666666667</v>
      </c>
      <c r="M103" s="87">
        <v>2342</v>
      </c>
      <c r="N103" s="87">
        <v>0</v>
      </c>
      <c r="O103" s="43">
        <v>2342</v>
      </c>
      <c r="P103" s="43">
        <v>0</v>
      </c>
      <c r="Q103" s="43">
        <v>2342</v>
      </c>
      <c r="R103" s="87"/>
      <c r="S103" s="87"/>
    </row>
    <row r="104" spans="1:19" x14ac:dyDescent="0.25">
      <c r="A104" s="43"/>
      <c r="B104" s="43" t="s">
        <v>162</v>
      </c>
      <c r="C104" s="43" t="s">
        <v>267</v>
      </c>
      <c r="D104" s="47" t="s">
        <v>268</v>
      </c>
      <c r="E104" s="43" t="s">
        <v>268</v>
      </c>
      <c r="F104" s="87">
        <v>9000</v>
      </c>
      <c r="G104" s="43">
        <v>0.05</v>
      </c>
      <c r="H104" s="43">
        <v>0.84097222222222223</v>
      </c>
      <c r="I104" s="43">
        <v>0</v>
      </c>
      <c r="J104" s="43">
        <v>0.14791666666666667</v>
      </c>
      <c r="K104" s="43">
        <v>0.89097222222222228</v>
      </c>
      <c r="L104" s="87">
        <v>0.14791666666666667</v>
      </c>
      <c r="M104" s="87">
        <v>2342</v>
      </c>
      <c r="N104" s="87">
        <v>0</v>
      </c>
      <c r="O104" s="43">
        <v>2342</v>
      </c>
      <c r="P104" s="43">
        <v>0</v>
      </c>
      <c r="Q104" s="43">
        <v>2342</v>
      </c>
      <c r="R104" s="87"/>
      <c r="S104" s="87"/>
    </row>
    <row r="105" spans="1:19" x14ac:dyDescent="0.25">
      <c r="A105" s="43"/>
      <c r="B105" s="43" t="s">
        <v>162</v>
      </c>
      <c r="C105" s="43" t="s">
        <v>269</v>
      </c>
      <c r="D105" s="47" t="s">
        <v>402</v>
      </c>
      <c r="E105" s="43" t="s">
        <v>269</v>
      </c>
      <c r="F105" s="87">
        <v>9000</v>
      </c>
      <c r="G105" s="43">
        <v>0.05</v>
      </c>
      <c r="H105" s="43">
        <v>0.84097222222222223</v>
      </c>
      <c r="I105" s="43">
        <v>0</v>
      </c>
      <c r="J105" s="43">
        <v>0</v>
      </c>
      <c r="K105" s="43">
        <v>0.89097222222222228</v>
      </c>
      <c r="L105" s="87">
        <v>0</v>
      </c>
      <c r="M105" s="87">
        <v>0</v>
      </c>
      <c r="N105" s="87">
        <v>0</v>
      </c>
      <c r="O105" s="43">
        <v>0</v>
      </c>
      <c r="P105" s="43">
        <v>0</v>
      </c>
      <c r="Q105" s="43">
        <v>0</v>
      </c>
      <c r="R105" s="87"/>
      <c r="S105" s="87"/>
    </row>
    <row r="106" spans="1:19" x14ac:dyDescent="0.25">
      <c r="A106" s="43"/>
      <c r="B106" s="43" t="s">
        <v>162</v>
      </c>
      <c r="C106" s="43" t="s">
        <v>269</v>
      </c>
      <c r="D106" s="47" t="s">
        <v>269</v>
      </c>
      <c r="E106" s="43" t="s">
        <v>269</v>
      </c>
      <c r="F106" s="87">
        <v>9000</v>
      </c>
      <c r="G106" s="43">
        <v>0.05</v>
      </c>
      <c r="H106" s="43">
        <v>0.84097222222222223</v>
      </c>
      <c r="I106" s="43">
        <v>0</v>
      </c>
      <c r="J106" s="43">
        <v>0</v>
      </c>
      <c r="K106" s="43">
        <v>0.89097222222222228</v>
      </c>
      <c r="L106" s="87">
        <v>0</v>
      </c>
      <c r="M106" s="87">
        <v>0</v>
      </c>
      <c r="N106" s="87">
        <v>0</v>
      </c>
      <c r="O106" s="43">
        <v>0</v>
      </c>
      <c r="P106" s="43">
        <v>0</v>
      </c>
      <c r="Q106" s="43">
        <v>0</v>
      </c>
      <c r="R106" s="87"/>
      <c r="S106" s="87"/>
    </row>
    <row r="107" spans="1:19" x14ac:dyDescent="0.25">
      <c r="A107" s="43"/>
      <c r="B107" s="43" t="s">
        <v>162</v>
      </c>
      <c r="C107" s="43" t="s">
        <v>273</v>
      </c>
      <c r="D107" s="47" t="s">
        <v>402</v>
      </c>
      <c r="E107" s="43" t="s">
        <v>273</v>
      </c>
      <c r="F107" s="87">
        <v>18000</v>
      </c>
      <c r="G107" s="43">
        <v>0.1</v>
      </c>
      <c r="H107" s="43">
        <v>1.6819444444444445</v>
      </c>
      <c r="I107" s="43">
        <v>0</v>
      </c>
      <c r="J107" s="43">
        <v>0</v>
      </c>
      <c r="K107" s="43">
        <v>1.7819444444444446</v>
      </c>
      <c r="L107" s="87">
        <v>0</v>
      </c>
      <c r="M107" s="87">
        <v>0</v>
      </c>
      <c r="N107" s="87">
        <v>0</v>
      </c>
      <c r="O107" s="43">
        <v>0</v>
      </c>
      <c r="P107" s="43">
        <v>0</v>
      </c>
      <c r="Q107" s="43">
        <v>0</v>
      </c>
      <c r="R107" s="87"/>
      <c r="S107" s="87"/>
    </row>
    <row r="108" spans="1:19" x14ac:dyDescent="0.25">
      <c r="A108" s="43"/>
      <c r="B108" s="43" t="s">
        <v>162</v>
      </c>
      <c r="C108" s="43" t="s">
        <v>273</v>
      </c>
      <c r="D108" s="47" t="s">
        <v>274</v>
      </c>
      <c r="E108" s="43" t="s">
        <v>274</v>
      </c>
      <c r="F108" s="87">
        <v>9000</v>
      </c>
      <c r="G108" s="43">
        <v>0.05</v>
      </c>
      <c r="H108" s="43">
        <v>0.84097222222222223</v>
      </c>
      <c r="I108" s="43">
        <v>0</v>
      </c>
      <c r="J108" s="43">
        <v>0</v>
      </c>
      <c r="K108" s="43">
        <v>0.89097222222222228</v>
      </c>
      <c r="L108" s="87">
        <v>0</v>
      </c>
      <c r="M108" s="87">
        <v>0</v>
      </c>
      <c r="N108" s="87">
        <v>0</v>
      </c>
      <c r="O108" s="43">
        <v>0</v>
      </c>
      <c r="P108" s="43">
        <v>0</v>
      </c>
      <c r="Q108" s="43">
        <v>0</v>
      </c>
      <c r="R108" s="87"/>
      <c r="S108" s="87"/>
    </row>
    <row r="109" spans="1:19" x14ac:dyDescent="0.25">
      <c r="A109" s="43"/>
      <c r="B109" s="43" t="s">
        <v>162</v>
      </c>
      <c r="C109" s="43" t="s">
        <v>273</v>
      </c>
      <c r="D109" s="47" t="s">
        <v>277</v>
      </c>
      <c r="E109" s="43" t="s">
        <v>277</v>
      </c>
      <c r="F109" s="87">
        <v>9000</v>
      </c>
      <c r="G109" s="43">
        <v>0.05</v>
      </c>
      <c r="H109" s="43">
        <v>0.84097222222222223</v>
      </c>
      <c r="I109" s="43">
        <v>0</v>
      </c>
      <c r="J109" s="43">
        <v>0</v>
      </c>
      <c r="K109" s="43">
        <v>0.89097222222222228</v>
      </c>
      <c r="L109" s="87">
        <v>0</v>
      </c>
      <c r="M109" s="87">
        <v>0</v>
      </c>
      <c r="N109" s="87">
        <v>0</v>
      </c>
      <c r="O109" s="43">
        <v>0</v>
      </c>
      <c r="P109" s="43">
        <v>0</v>
      </c>
      <c r="Q109" s="43">
        <v>0</v>
      </c>
      <c r="R109" s="87"/>
      <c r="S109" s="87"/>
    </row>
    <row r="110" spans="1:19" x14ac:dyDescent="0.25">
      <c r="A110" s="43"/>
      <c r="B110" s="43" t="s">
        <v>164</v>
      </c>
      <c r="C110" s="43" t="s">
        <v>364</v>
      </c>
      <c r="D110" s="47" t="s">
        <v>364</v>
      </c>
      <c r="E110" s="43" t="s">
        <v>164</v>
      </c>
      <c r="F110" s="87">
        <v>81000</v>
      </c>
      <c r="G110" s="43">
        <v>0.45</v>
      </c>
      <c r="H110" s="43">
        <v>7.5687499999999996</v>
      </c>
      <c r="I110" s="43">
        <v>0</v>
      </c>
      <c r="J110" s="43">
        <v>0</v>
      </c>
      <c r="K110" s="43">
        <v>8.0187500000000007</v>
      </c>
      <c r="L110" s="87">
        <v>0</v>
      </c>
      <c r="M110" s="87">
        <v>0</v>
      </c>
      <c r="N110" s="87">
        <v>0</v>
      </c>
      <c r="O110" s="43">
        <v>0</v>
      </c>
      <c r="P110" s="43">
        <v>0</v>
      </c>
      <c r="Q110" s="43">
        <v>0</v>
      </c>
      <c r="R110" s="87"/>
      <c r="S110" s="87"/>
    </row>
    <row r="111" spans="1:19" x14ac:dyDescent="0.25">
      <c r="A111" s="43"/>
      <c r="B111" s="43" t="s">
        <v>164</v>
      </c>
      <c r="C111" s="43" t="s">
        <v>134</v>
      </c>
      <c r="D111" s="47" t="s">
        <v>402</v>
      </c>
      <c r="E111" s="43" t="s">
        <v>134</v>
      </c>
      <c r="F111" s="87">
        <v>9000</v>
      </c>
      <c r="G111" s="43">
        <v>0.05</v>
      </c>
      <c r="H111" s="43">
        <v>0.84097222222222223</v>
      </c>
      <c r="I111" s="43">
        <v>0</v>
      </c>
      <c r="J111" s="43">
        <v>0</v>
      </c>
      <c r="K111" s="43">
        <v>0.89097222222222228</v>
      </c>
      <c r="L111" s="87">
        <v>0</v>
      </c>
      <c r="M111" s="87">
        <v>0</v>
      </c>
      <c r="N111" s="87">
        <v>0</v>
      </c>
      <c r="O111" s="43">
        <v>0</v>
      </c>
      <c r="P111" s="43">
        <v>0</v>
      </c>
      <c r="Q111" s="43">
        <v>0</v>
      </c>
      <c r="R111" s="87"/>
      <c r="S111" s="87"/>
    </row>
    <row r="112" spans="1:19" x14ac:dyDescent="0.25">
      <c r="A112" s="43"/>
      <c r="B112" s="43" t="s">
        <v>164</v>
      </c>
      <c r="C112" s="43" t="s">
        <v>134</v>
      </c>
      <c r="D112" s="47" t="s">
        <v>134</v>
      </c>
      <c r="E112" s="43" t="s">
        <v>134</v>
      </c>
      <c r="F112" s="87">
        <v>9000</v>
      </c>
      <c r="G112" s="43">
        <v>0.05</v>
      </c>
      <c r="H112" s="43">
        <v>0.84097222222222223</v>
      </c>
      <c r="I112" s="43">
        <v>0</v>
      </c>
      <c r="J112" s="43">
        <v>0</v>
      </c>
      <c r="K112" s="43">
        <v>0.89097222222222228</v>
      </c>
      <c r="L112" s="87">
        <v>0</v>
      </c>
      <c r="M112" s="87">
        <v>0</v>
      </c>
      <c r="N112" s="87">
        <v>0</v>
      </c>
      <c r="O112" s="43">
        <v>0</v>
      </c>
      <c r="P112" s="43">
        <v>0</v>
      </c>
      <c r="Q112" s="43">
        <v>0</v>
      </c>
      <c r="R112" s="87"/>
      <c r="S112" s="87"/>
    </row>
    <row r="113" spans="1:19" x14ac:dyDescent="0.25">
      <c r="A113" s="43"/>
      <c r="B113" s="43" t="s">
        <v>164</v>
      </c>
      <c r="C113" s="43" t="s">
        <v>273</v>
      </c>
      <c r="D113" s="47" t="s">
        <v>402</v>
      </c>
      <c r="E113" s="43" t="s">
        <v>273</v>
      </c>
      <c r="F113" s="87">
        <v>18000</v>
      </c>
      <c r="G113" s="43">
        <v>0.1</v>
      </c>
      <c r="H113" s="43">
        <v>1.6819444444444445</v>
      </c>
      <c r="I113" s="43">
        <v>0</v>
      </c>
      <c r="J113" s="43">
        <v>0</v>
      </c>
      <c r="K113" s="43">
        <v>1.7819444444444446</v>
      </c>
      <c r="L113" s="87">
        <v>0</v>
      </c>
      <c r="M113" s="87">
        <v>0</v>
      </c>
      <c r="N113" s="87">
        <v>0</v>
      </c>
      <c r="O113" s="43">
        <v>0</v>
      </c>
      <c r="P113" s="43">
        <v>0</v>
      </c>
      <c r="Q113" s="43">
        <v>0</v>
      </c>
      <c r="R113" s="87"/>
      <c r="S113" s="87"/>
    </row>
    <row r="114" spans="1:19" x14ac:dyDescent="0.25">
      <c r="A114" s="43"/>
      <c r="B114" s="43" t="s">
        <v>164</v>
      </c>
      <c r="C114" s="43" t="s">
        <v>273</v>
      </c>
      <c r="D114" s="47" t="s">
        <v>274</v>
      </c>
      <c r="E114" s="43" t="s">
        <v>274</v>
      </c>
      <c r="F114" s="87">
        <v>9000</v>
      </c>
      <c r="G114" s="43">
        <v>0.05</v>
      </c>
      <c r="H114" s="43">
        <v>0.84097222222222223</v>
      </c>
      <c r="I114" s="43">
        <v>0</v>
      </c>
      <c r="J114" s="43">
        <v>0</v>
      </c>
      <c r="K114" s="43">
        <v>0.89097222222222228</v>
      </c>
      <c r="L114" s="87">
        <v>0</v>
      </c>
      <c r="M114" s="87">
        <v>0</v>
      </c>
      <c r="N114" s="87">
        <v>0</v>
      </c>
      <c r="O114" s="43">
        <v>0</v>
      </c>
      <c r="P114" s="43">
        <v>0</v>
      </c>
      <c r="Q114" s="43">
        <v>0</v>
      </c>
      <c r="R114" s="87"/>
      <c r="S114" s="87"/>
    </row>
    <row r="115" spans="1:19" x14ac:dyDescent="0.25">
      <c r="A115" s="43"/>
      <c r="B115" s="43" t="s">
        <v>164</v>
      </c>
      <c r="C115" s="43" t="s">
        <v>273</v>
      </c>
      <c r="D115" s="47" t="s">
        <v>277</v>
      </c>
      <c r="E115" s="43" t="s">
        <v>277</v>
      </c>
      <c r="F115" s="87">
        <v>9000</v>
      </c>
      <c r="G115" s="43">
        <v>0.05</v>
      </c>
      <c r="H115" s="43">
        <v>0.84097222222222223</v>
      </c>
      <c r="I115" s="43">
        <v>0</v>
      </c>
      <c r="J115" s="43">
        <v>0</v>
      </c>
      <c r="K115" s="43">
        <v>0.89097222222222228</v>
      </c>
      <c r="L115" s="87">
        <v>0</v>
      </c>
      <c r="M115" s="87">
        <v>0</v>
      </c>
      <c r="N115" s="87">
        <v>0</v>
      </c>
      <c r="O115" s="43">
        <v>0</v>
      </c>
      <c r="P115" s="43">
        <v>0</v>
      </c>
      <c r="Q115" s="43">
        <v>0</v>
      </c>
      <c r="R115" s="87"/>
      <c r="S115" s="87"/>
    </row>
    <row r="116" spans="1:19" x14ac:dyDescent="0.25">
      <c r="A116" s="43"/>
      <c r="B116" s="43" t="s">
        <v>164</v>
      </c>
      <c r="C116" s="43" t="s">
        <v>269</v>
      </c>
      <c r="D116" s="47" t="s">
        <v>402</v>
      </c>
      <c r="E116" s="43" t="s">
        <v>269</v>
      </c>
      <c r="F116" s="87">
        <v>9000</v>
      </c>
      <c r="G116" s="43">
        <v>0.05</v>
      </c>
      <c r="H116" s="43">
        <v>0.84097222222222223</v>
      </c>
      <c r="I116" s="43">
        <v>0</v>
      </c>
      <c r="J116" s="43">
        <v>0</v>
      </c>
      <c r="K116" s="43">
        <v>0.89097222222222228</v>
      </c>
      <c r="L116" s="87">
        <v>0</v>
      </c>
      <c r="M116" s="87">
        <v>0</v>
      </c>
      <c r="N116" s="87">
        <v>0</v>
      </c>
      <c r="O116" s="43">
        <v>0</v>
      </c>
      <c r="P116" s="43">
        <v>0</v>
      </c>
      <c r="Q116" s="43">
        <v>0</v>
      </c>
      <c r="R116" s="87"/>
      <c r="S116" s="87"/>
    </row>
    <row r="117" spans="1:19" x14ac:dyDescent="0.25">
      <c r="A117" s="43"/>
      <c r="B117" s="43" t="s">
        <v>164</v>
      </c>
      <c r="C117" s="43" t="s">
        <v>269</v>
      </c>
      <c r="D117" s="47" t="s">
        <v>269</v>
      </c>
      <c r="E117" s="43" t="s">
        <v>269</v>
      </c>
      <c r="F117" s="87">
        <v>9000</v>
      </c>
      <c r="G117" s="43">
        <v>0.05</v>
      </c>
      <c r="H117" s="43">
        <v>0.84097222222222223</v>
      </c>
      <c r="I117" s="43">
        <v>0</v>
      </c>
      <c r="J117" s="43">
        <v>0</v>
      </c>
      <c r="K117" s="43">
        <v>0.89097222222222228</v>
      </c>
      <c r="L117" s="87">
        <v>0</v>
      </c>
      <c r="M117" s="87">
        <v>0</v>
      </c>
      <c r="N117" s="87">
        <v>0</v>
      </c>
      <c r="O117" s="43">
        <v>0</v>
      </c>
      <c r="P117" s="43">
        <v>0</v>
      </c>
      <c r="Q117" s="43">
        <v>0</v>
      </c>
      <c r="R117" s="87"/>
      <c r="S117" s="87"/>
    </row>
    <row r="118" spans="1:19" x14ac:dyDescent="0.25">
      <c r="A118" s="43"/>
      <c r="B118" s="43" t="s">
        <v>164</v>
      </c>
      <c r="C118" s="43" t="s">
        <v>267</v>
      </c>
      <c r="D118" s="47" t="s">
        <v>402</v>
      </c>
      <c r="E118" s="43" t="s">
        <v>267</v>
      </c>
      <c r="F118" s="87">
        <v>9000</v>
      </c>
      <c r="G118" s="43">
        <v>0.05</v>
      </c>
      <c r="H118" s="43">
        <v>0.84097222222222223</v>
      </c>
      <c r="I118" s="43">
        <v>0</v>
      </c>
      <c r="J118" s="43">
        <v>0</v>
      </c>
      <c r="K118" s="43">
        <v>0.89097222222222228</v>
      </c>
      <c r="L118" s="87">
        <v>0</v>
      </c>
      <c r="M118" s="87">
        <v>0</v>
      </c>
      <c r="N118" s="87">
        <v>0</v>
      </c>
      <c r="O118" s="43">
        <v>0</v>
      </c>
      <c r="P118" s="43">
        <v>0</v>
      </c>
      <c r="Q118" s="43">
        <v>0</v>
      </c>
      <c r="R118" s="87"/>
      <c r="S118" s="87"/>
    </row>
    <row r="119" spans="1:19" x14ac:dyDescent="0.25">
      <c r="A119" s="43"/>
      <c r="B119" s="43" t="s">
        <v>164</v>
      </c>
      <c r="C119" s="43" t="s">
        <v>267</v>
      </c>
      <c r="D119" s="47" t="s">
        <v>268</v>
      </c>
      <c r="E119" s="43" t="s">
        <v>268</v>
      </c>
      <c r="F119" s="87">
        <v>9000</v>
      </c>
      <c r="G119" s="43">
        <v>0.05</v>
      </c>
      <c r="H119" s="43">
        <v>0.84097222222222223</v>
      </c>
      <c r="I119" s="43">
        <v>0</v>
      </c>
      <c r="J119" s="43">
        <v>0</v>
      </c>
      <c r="K119" s="43">
        <v>0.89097222222222228</v>
      </c>
      <c r="L119" s="87">
        <v>0</v>
      </c>
      <c r="M119" s="87">
        <v>0</v>
      </c>
      <c r="N119" s="87">
        <v>0</v>
      </c>
      <c r="O119" s="43">
        <v>0</v>
      </c>
      <c r="P119" s="43">
        <v>0</v>
      </c>
      <c r="Q119" s="43">
        <v>0</v>
      </c>
      <c r="R119" s="87"/>
      <c r="S119" s="87"/>
    </row>
    <row r="120" spans="1:19" x14ac:dyDescent="0.25">
      <c r="A120" s="43"/>
      <c r="B120" s="43" t="s">
        <v>164</v>
      </c>
      <c r="C120" s="43" t="s">
        <v>272</v>
      </c>
      <c r="D120" s="47" t="s">
        <v>402</v>
      </c>
      <c r="E120" s="43" t="s">
        <v>272</v>
      </c>
      <c r="F120" s="87">
        <v>9000</v>
      </c>
      <c r="G120" s="43">
        <v>0.05</v>
      </c>
      <c r="H120" s="43">
        <v>0.84097222222222223</v>
      </c>
      <c r="I120" s="43">
        <v>0</v>
      </c>
      <c r="J120" s="43">
        <v>0</v>
      </c>
      <c r="K120" s="43">
        <v>0.89097222222222228</v>
      </c>
      <c r="L120" s="87">
        <v>0</v>
      </c>
      <c r="M120" s="87">
        <v>0</v>
      </c>
      <c r="N120" s="87">
        <v>0</v>
      </c>
      <c r="O120" s="43">
        <v>0</v>
      </c>
      <c r="P120" s="43">
        <v>0</v>
      </c>
      <c r="Q120" s="43">
        <v>0</v>
      </c>
      <c r="R120" s="87"/>
      <c r="S120" s="87"/>
    </row>
    <row r="121" spans="1:19" x14ac:dyDescent="0.25">
      <c r="A121" s="43"/>
      <c r="B121" s="43" t="s">
        <v>164</v>
      </c>
      <c r="C121" s="43" t="s">
        <v>272</v>
      </c>
      <c r="D121" s="47" t="s">
        <v>272</v>
      </c>
      <c r="E121" s="43" t="s">
        <v>272</v>
      </c>
      <c r="F121" s="87">
        <v>9000</v>
      </c>
      <c r="G121" s="43">
        <v>0.05</v>
      </c>
      <c r="H121" s="43">
        <v>0.84097222222222223</v>
      </c>
      <c r="I121" s="43">
        <v>0</v>
      </c>
      <c r="J121" s="43">
        <v>0</v>
      </c>
      <c r="K121" s="43">
        <v>0.89097222222222228</v>
      </c>
      <c r="L121" s="87">
        <v>0</v>
      </c>
      <c r="M121" s="87">
        <v>0</v>
      </c>
      <c r="N121" s="87">
        <v>0</v>
      </c>
      <c r="O121" s="43">
        <v>0</v>
      </c>
      <c r="P121" s="43">
        <v>0</v>
      </c>
      <c r="Q121" s="43">
        <v>0</v>
      </c>
      <c r="R121" s="87"/>
      <c r="S121" s="87"/>
    </row>
    <row r="122" spans="1:19" x14ac:dyDescent="0.25">
      <c r="A122" s="43"/>
      <c r="B122" s="43" t="s">
        <v>164</v>
      </c>
      <c r="C122" s="43" t="s">
        <v>271</v>
      </c>
      <c r="D122" s="47" t="s">
        <v>402</v>
      </c>
      <c r="E122" s="43" t="s">
        <v>271</v>
      </c>
      <c r="F122" s="87">
        <v>9000</v>
      </c>
      <c r="G122" s="43">
        <v>0.05</v>
      </c>
      <c r="H122" s="43">
        <v>0.84097222222222223</v>
      </c>
      <c r="I122" s="43">
        <v>0</v>
      </c>
      <c r="J122" s="43">
        <v>0</v>
      </c>
      <c r="K122" s="43">
        <v>0.89097222222222228</v>
      </c>
      <c r="L122" s="87">
        <v>0</v>
      </c>
      <c r="M122" s="87">
        <v>0</v>
      </c>
      <c r="N122" s="87">
        <v>0</v>
      </c>
      <c r="O122" s="43">
        <v>0</v>
      </c>
      <c r="P122" s="43">
        <v>0</v>
      </c>
      <c r="Q122" s="43">
        <v>0</v>
      </c>
      <c r="R122" s="87"/>
      <c r="S122" s="87"/>
    </row>
    <row r="123" spans="1:19" x14ac:dyDescent="0.25">
      <c r="A123" s="43"/>
      <c r="B123" s="43" t="s">
        <v>164</v>
      </c>
      <c r="C123" s="43" t="s">
        <v>271</v>
      </c>
      <c r="D123" s="47" t="s">
        <v>271</v>
      </c>
      <c r="E123" s="43" t="s">
        <v>271</v>
      </c>
      <c r="F123" s="87">
        <v>9000</v>
      </c>
      <c r="G123" s="43">
        <v>0.05</v>
      </c>
      <c r="H123" s="43">
        <v>0.84097222222222223</v>
      </c>
      <c r="I123" s="43">
        <v>0</v>
      </c>
      <c r="J123" s="43">
        <v>0</v>
      </c>
      <c r="K123" s="43">
        <v>0.89097222222222228</v>
      </c>
      <c r="L123" s="87">
        <v>0</v>
      </c>
      <c r="M123" s="87">
        <v>0</v>
      </c>
      <c r="N123" s="87">
        <v>0</v>
      </c>
      <c r="O123" s="43">
        <v>0</v>
      </c>
      <c r="P123" s="43">
        <v>0</v>
      </c>
      <c r="Q123" s="43">
        <v>0</v>
      </c>
      <c r="R123" s="87"/>
      <c r="S123" s="87"/>
    </row>
    <row r="124" spans="1:19" x14ac:dyDescent="0.25">
      <c r="A124" s="43"/>
      <c r="B124" s="43" t="s">
        <v>164</v>
      </c>
      <c r="C124" s="43" t="s">
        <v>270</v>
      </c>
      <c r="D124" s="47" t="s">
        <v>402</v>
      </c>
      <c r="E124" s="43" t="s">
        <v>270</v>
      </c>
      <c r="F124" s="87">
        <v>18000</v>
      </c>
      <c r="G124" s="43">
        <v>0.1</v>
      </c>
      <c r="H124" s="43">
        <v>1.6819444444444445</v>
      </c>
      <c r="I124" s="43">
        <v>0</v>
      </c>
      <c r="J124" s="43">
        <v>0</v>
      </c>
      <c r="K124" s="43">
        <v>1.7819444444444446</v>
      </c>
      <c r="L124" s="87">
        <v>0</v>
      </c>
      <c r="M124" s="87">
        <v>0</v>
      </c>
      <c r="N124" s="87">
        <v>0</v>
      </c>
      <c r="O124" s="43">
        <v>0</v>
      </c>
      <c r="P124" s="43">
        <v>0</v>
      </c>
      <c r="Q124" s="43">
        <v>0</v>
      </c>
      <c r="R124" s="87"/>
      <c r="S124" s="87"/>
    </row>
    <row r="125" spans="1:19" x14ac:dyDescent="0.25">
      <c r="A125" s="43"/>
      <c r="B125" s="43" t="s">
        <v>164</v>
      </c>
      <c r="C125" s="43" t="s">
        <v>270</v>
      </c>
      <c r="D125" s="47" t="s">
        <v>275</v>
      </c>
      <c r="E125" s="43" t="s">
        <v>275</v>
      </c>
      <c r="F125" s="87">
        <v>9000</v>
      </c>
      <c r="G125" s="43">
        <v>0.05</v>
      </c>
      <c r="H125" s="43">
        <v>0.84097222222222223</v>
      </c>
      <c r="I125" s="43">
        <v>0</v>
      </c>
      <c r="J125" s="43">
        <v>0</v>
      </c>
      <c r="K125" s="43">
        <v>0.89097222222222228</v>
      </c>
      <c r="L125" s="87">
        <v>0</v>
      </c>
      <c r="M125" s="87">
        <v>0</v>
      </c>
      <c r="N125" s="87">
        <v>0</v>
      </c>
      <c r="O125" s="43">
        <v>0</v>
      </c>
      <c r="P125" s="43">
        <v>0</v>
      </c>
      <c r="Q125" s="43">
        <v>0</v>
      </c>
      <c r="R125" s="87"/>
      <c r="S125" s="87"/>
    </row>
    <row r="126" spans="1:19" x14ac:dyDescent="0.25">
      <c r="A126" s="43"/>
      <c r="B126" s="43" t="s">
        <v>164</v>
      </c>
      <c r="C126" s="43" t="s">
        <v>270</v>
      </c>
      <c r="D126" s="47" t="s">
        <v>278</v>
      </c>
      <c r="E126" s="43" t="s">
        <v>278</v>
      </c>
      <c r="F126" s="87">
        <v>9000</v>
      </c>
      <c r="G126" s="43">
        <v>0.05</v>
      </c>
      <c r="H126" s="43">
        <v>0.84097222222222223</v>
      </c>
      <c r="I126" s="43">
        <v>0</v>
      </c>
      <c r="J126" s="43">
        <v>0</v>
      </c>
      <c r="K126" s="43">
        <v>0.89097222222222228</v>
      </c>
      <c r="L126" s="87">
        <v>0</v>
      </c>
      <c r="M126" s="87">
        <v>0</v>
      </c>
      <c r="N126" s="87">
        <v>0</v>
      </c>
      <c r="O126" s="43">
        <v>0</v>
      </c>
      <c r="P126" s="43">
        <v>0</v>
      </c>
      <c r="Q126" s="43">
        <v>0</v>
      </c>
      <c r="R126" s="87"/>
      <c r="S126" s="87"/>
    </row>
    <row r="127" spans="1:19" x14ac:dyDescent="0.25">
      <c r="A127" s="43"/>
      <c r="B127" s="43" t="s">
        <v>165</v>
      </c>
      <c r="C127" s="43" t="s">
        <v>364</v>
      </c>
      <c r="D127" s="47" t="s">
        <v>364</v>
      </c>
      <c r="E127" s="43" t="s">
        <v>165</v>
      </c>
      <c r="F127" s="87">
        <v>81000</v>
      </c>
      <c r="G127" s="43">
        <v>0.45</v>
      </c>
      <c r="H127" s="43">
        <v>7.5687499999999996</v>
      </c>
      <c r="I127" s="43">
        <v>0</v>
      </c>
      <c r="J127" s="43">
        <v>0.11458333333333333</v>
      </c>
      <c r="K127" s="43">
        <v>8.0187500000000007</v>
      </c>
      <c r="L127" s="87">
        <v>0.11458333333333333</v>
      </c>
      <c r="M127" s="87">
        <v>3221</v>
      </c>
      <c r="N127" s="87">
        <v>0</v>
      </c>
      <c r="O127" s="43">
        <v>3221</v>
      </c>
      <c r="P127" s="43">
        <v>0</v>
      </c>
      <c r="Q127" s="43">
        <v>3221</v>
      </c>
      <c r="R127" s="87"/>
      <c r="S127" s="87"/>
    </row>
    <row r="128" spans="1:19" x14ac:dyDescent="0.25">
      <c r="A128" s="43"/>
      <c r="B128" s="43" t="s">
        <v>165</v>
      </c>
      <c r="C128" s="43" t="s">
        <v>273</v>
      </c>
      <c r="D128" s="47" t="s">
        <v>402</v>
      </c>
      <c r="E128" s="43" t="s">
        <v>273</v>
      </c>
      <c r="F128" s="87">
        <v>18000</v>
      </c>
      <c r="G128" s="43">
        <v>0.1</v>
      </c>
      <c r="H128" s="43">
        <v>1.6819444444444445</v>
      </c>
      <c r="I128" s="43">
        <v>0</v>
      </c>
      <c r="J128" s="43">
        <v>0</v>
      </c>
      <c r="K128" s="43">
        <v>1.7819444444444446</v>
      </c>
      <c r="L128" s="87">
        <v>0</v>
      </c>
      <c r="M128" s="87">
        <v>0</v>
      </c>
      <c r="N128" s="87">
        <v>0</v>
      </c>
      <c r="O128" s="43">
        <v>0</v>
      </c>
      <c r="P128" s="43">
        <v>0</v>
      </c>
      <c r="Q128" s="43">
        <v>0</v>
      </c>
      <c r="R128" s="87"/>
      <c r="S128" s="87"/>
    </row>
    <row r="129" spans="1:19" x14ac:dyDescent="0.25">
      <c r="A129" s="43"/>
      <c r="B129" s="43" t="s">
        <v>165</v>
      </c>
      <c r="C129" s="43" t="s">
        <v>273</v>
      </c>
      <c r="D129" s="47" t="s">
        <v>274</v>
      </c>
      <c r="E129" s="43" t="s">
        <v>274</v>
      </c>
      <c r="F129" s="87">
        <v>9000</v>
      </c>
      <c r="G129" s="43">
        <v>0.05</v>
      </c>
      <c r="H129" s="43">
        <v>0.84097222222222223</v>
      </c>
      <c r="I129" s="43">
        <v>0</v>
      </c>
      <c r="J129" s="43">
        <v>0</v>
      </c>
      <c r="K129" s="43">
        <v>0.89097222222222228</v>
      </c>
      <c r="L129" s="87">
        <v>0</v>
      </c>
      <c r="M129" s="87">
        <v>0</v>
      </c>
      <c r="N129" s="87">
        <v>0</v>
      </c>
      <c r="O129" s="43">
        <v>0</v>
      </c>
      <c r="P129" s="43">
        <v>0</v>
      </c>
      <c r="Q129" s="43">
        <v>0</v>
      </c>
      <c r="R129" s="87"/>
      <c r="S129" s="87"/>
    </row>
    <row r="130" spans="1:19" x14ac:dyDescent="0.25">
      <c r="A130" s="43"/>
      <c r="B130" s="43" t="s">
        <v>165</v>
      </c>
      <c r="C130" s="43" t="s">
        <v>273</v>
      </c>
      <c r="D130" s="47" t="s">
        <v>277</v>
      </c>
      <c r="E130" s="43" t="s">
        <v>277</v>
      </c>
      <c r="F130" s="87">
        <v>9000</v>
      </c>
      <c r="G130" s="43">
        <v>0.05</v>
      </c>
      <c r="H130" s="43">
        <v>0.84097222222222223</v>
      </c>
      <c r="I130" s="43">
        <v>0</v>
      </c>
      <c r="J130" s="43">
        <v>0</v>
      </c>
      <c r="K130" s="43">
        <v>0.89097222222222228</v>
      </c>
      <c r="L130" s="87">
        <v>0</v>
      </c>
      <c r="M130" s="87">
        <v>0</v>
      </c>
      <c r="N130" s="87">
        <v>0</v>
      </c>
      <c r="O130" s="43">
        <v>0</v>
      </c>
      <c r="P130" s="43">
        <v>0</v>
      </c>
      <c r="Q130" s="43">
        <v>0</v>
      </c>
      <c r="R130" s="87"/>
      <c r="S130" s="87"/>
    </row>
    <row r="131" spans="1:19" x14ac:dyDescent="0.25">
      <c r="A131" s="43"/>
      <c r="B131" s="43" t="s">
        <v>165</v>
      </c>
      <c r="C131" s="43" t="s">
        <v>272</v>
      </c>
      <c r="D131" s="47" t="s">
        <v>402</v>
      </c>
      <c r="E131" s="43" t="s">
        <v>272</v>
      </c>
      <c r="F131" s="87">
        <v>9000</v>
      </c>
      <c r="G131" s="43">
        <v>0.05</v>
      </c>
      <c r="H131" s="43">
        <v>0.84097222222222223</v>
      </c>
      <c r="I131" s="43">
        <v>0</v>
      </c>
      <c r="J131" s="43">
        <v>0</v>
      </c>
      <c r="K131" s="43">
        <v>0.89097222222222228</v>
      </c>
      <c r="L131" s="87">
        <v>0</v>
      </c>
      <c r="M131" s="87">
        <v>0</v>
      </c>
      <c r="N131" s="87">
        <v>0</v>
      </c>
      <c r="O131" s="43">
        <v>0</v>
      </c>
      <c r="P131" s="43">
        <v>0</v>
      </c>
      <c r="Q131" s="43">
        <v>0</v>
      </c>
      <c r="R131" s="87"/>
      <c r="S131" s="87"/>
    </row>
    <row r="132" spans="1:19" x14ac:dyDescent="0.25">
      <c r="A132" s="43"/>
      <c r="B132" s="43" t="s">
        <v>165</v>
      </c>
      <c r="C132" s="43" t="s">
        <v>272</v>
      </c>
      <c r="D132" s="47" t="s">
        <v>272</v>
      </c>
      <c r="E132" s="43" t="s">
        <v>272</v>
      </c>
      <c r="F132" s="87">
        <v>9000</v>
      </c>
      <c r="G132" s="43">
        <v>0.05</v>
      </c>
      <c r="H132" s="43">
        <v>0.84097222222222223</v>
      </c>
      <c r="I132" s="43">
        <v>0</v>
      </c>
      <c r="J132" s="43">
        <v>0</v>
      </c>
      <c r="K132" s="43">
        <v>0.89097222222222228</v>
      </c>
      <c r="L132" s="87">
        <v>0</v>
      </c>
      <c r="M132" s="87">
        <v>0</v>
      </c>
      <c r="N132" s="87">
        <v>0</v>
      </c>
      <c r="O132" s="43">
        <v>0</v>
      </c>
      <c r="P132" s="43">
        <v>0</v>
      </c>
      <c r="Q132" s="43">
        <v>0</v>
      </c>
      <c r="R132" s="87"/>
      <c r="S132" s="87"/>
    </row>
    <row r="133" spans="1:19" x14ac:dyDescent="0.25">
      <c r="A133" s="43"/>
      <c r="B133" s="43" t="s">
        <v>165</v>
      </c>
      <c r="C133" s="43" t="s">
        <v>269</v>
      </c>
      <c r="D133" s="47" t="s">
        <v>402</v>
      </c>
      <c r="E133" s="43" t="s">
        <v>269</v>
      </c>
      <c r="F133" s="87">
        <v>9000</v>
      </c>
      <c r="G133" s="43">
        <v>0.05</v>
      </c>
      <c r="H133" s="43">
        <v>0.84097222222222223</v>
      </c>
      <c r="I133" s="43">
        <v>0</v>
      </c>
      <c r="J133" s="43">
        <v>0</v>
      </c>
      <c r="K133" s="43">
        <v>0.89097222222222228</v>
      </c>
      <c r="L133" s="87">
        <v>0</v>
      </c>
      <c r="M133" s="87">
        <v>0</v>
      </c>
      <c r="N133" s="87">
        <v>0</v>
      </c>
      <c r="O133" s="43">
        <v>0</v>
      </c>
      <c r="P133" s="43">
        <v>0</v>
      </c>
      <c r="Q133" s="43">
        <v>0</v>
      </c>
      <c r="R133" s="87"/>
      <c r="S133" s="87"/>
    </row>
    <row r="134" spans="1:19" x14ac:dyDescent="0.25">
      <c r="A134" s="43"/>
      <c r="B134" s="43" t="s">
        <v>165</v>
      </c>
      <c r="C134" s="43" t="s">
        <v>269</v>
      </c>
      <c r="D134" s="47" t="s">
        <v>269</v>
      </c>
      <c r="E134" s="43" t="s">
        <v>269</v>
      </c>
      <c r="F134" s="87">
        <v>9000</v>
      </c>
      <c r="G134" s="43">
        <v>0.05</v>
      </c>
      <c r="H134" s="43">
        <v>0.84097222222222223</v>
      </c>
      <c r="I134" s="43">
        <v>0</v>
      </c>
      <c r="J134" s="43">
        <v>0</v>
      </c>
      <c r="K134" s="43">
        <v>0.89097222222222228</v>
      </c>
      <c r="L134" s="87">
        <v>0</v>
      </c>
      <c r="M134" s="87">
        <v>0</v>
      </c>
      <c r="N134" s="87">
        <v>0</v>
      </c>
      <c r="O134" s="43">
        <v>0</v>
      </c>
      <c r="P134" s="43">
        <v>0</v>
      </c>
      <c r="Q134" s="43">
        <v>0</v>
      </c>
      <c r="R134" s="87"/>
      <c r="S134" s="87"/>
    </row>
    <row r="135" spans="1:19" x14ac:dyDescent="0.25">
      <c r="A135" s="43"/>
      <c r="B135" s="43" t="s">
        <v>165</v>
      </c>
      <c r="C135" s="43" t="s">
        <v>267</v>
      </c>
      <c r="D135" s="47" t="s">
        <v>402</v>
      </c>
      <c r="E135" s="43" t="s">
        <v>267</v>
      </c>
      <c r="F135" s="87">
        <v>9000</v>
      </c>
      <c r="G135" s="43">
        <v>0.05</v>
      </c>
      <c r="H135" s="43">
        <v>0.84097222222222223</v>
      </c>
      <c r="I135" s="43">
        <v>0</v>
      </c>
      <c r="J135" s="43">
        <v>0</v>
      </c>
      <c r="K135" s="43">
        <v>0.89097222222222228</v>
      </c>
      <c r="L135" s="87">
        <v>0</v>
      </c>
      <c r="M135" s="87">
        <v>0</v>
      </c>
      <c r="N135" s="87">
        <v>0</v>
      </c>
      <c r="O135" s="43">
        <v>0</v>
      </c>
      <c r="P135" s="43">
        <v>0</v>
      </c>
      <c r="Q135" s="43">
        <v>0</v>
      </c>
      <c r="R135" s="87"/>
      <c r="S135" s="87"/>
    </row>
    <row r="136" spans="1:19" x14ac:dyDescent="0.25">
      <c r="A136" s="43"/>
      <c r="B136" s="43" t="s">
        <v>165</v>
      </c>
      <c r="C136" s="43" t="s">
        <v>267</v>
      </c>
      <c r="D136" s="47" t="s">
        <v>268</v>
      </c>
      <c r="E136" s="43" t="s">
        <v>268</v>
      </c>
      <c r="F136" s="87">
        <v>9000</v>
      </c>
      <c r="G136" s="43">
        <v>0.05</v>
      </c>
      <c r="H136" s="43">
        <v>0.84097222222222223</v>
      </c>
      <c r="I136" s="43">
        <v>0</v>
      </c>
      <c r="J136" s="43">
        <v>0</v>
      </c>
      <c r="K136" s="43">
        <v>0.89097222222222228</v>
      </c>
      <c r="L136" s="87">
        <v>0</v>
      </c>
      <c r="M136" s="87">
        <v>0</v>
      </c>
      <c r="N136" s="87">
        <v>0</v>
      </c>
      <c r="O136" s="43">
        <v>0</v>
      </c>
      <c r="P136" s="43">
        <v>0</v>
      </c>
      <c r="Q136" s="43">
        <v>0</v>
      </c>
      <c r="R136" s="87"/>
      <c r="S136" s="87"/>
    </row>
    <row r="137" spans="1:19" x14ac:dyDescent="0.25">
      <c r="A137" s="43"/>
      <c r="B137" s="43" t="s">
        <v>165</v>
      </c>
      <c r="C137" s="43" t="s">
        <v>271</v>
      </c>
      <c r="D137" s="47" t="s">
        <v>402</v>
      </c>
      <c r="E137" s="43" t="s">
        <v>271</v>
      </c>
      <c r="F137" s="87">
        <v>9000</v>
      </c>
      <c r="G137" s="43">
        <v>0.05</v>
      </c>
      <c r="H137" s="43">
        <v>0.84097222222222223</v>
      </c>
      <c r="I137" s="43">
        <v>0</v>
      </c>
      <c r="J137" s="43">
        <v>0</v>
      </c>
      <c r="K137" s="43">
        <v>0.89097222222222228</v>
      </c>
      <c r="L137" s="87">
        <v>0</v>
      </c>
      <c r="M137" s="87">
        <v>0</v>
      </c>
      <c r="N137" s="87">
        <v>0</v>
      </c>
      <c r="O137" s="43">
        <v>0</v>
      </c>
      <c r="P137" s="43">
        <v>0</v>
      </c>
      <c r="Q137" s="43">
        <v>0</v>
      </c>
      <c r="R137" s="87"/>
      <c r="S137" s="87"/>
    </row>
    <row r="138" spans="1:19" x14ac:dyDescent="0.25">
      <c r="A138" s="43"/>
      <c r="B138" s="43" t="s">
        <v>165</v>
      </c>
      <c r="C138" s="43" t="s">
        <v>271</v>
      </c>
      <c r="D138" s="47" t="s">
        <v>271</v>
      </c>
      <c r="E138" s="43" t="s">
        <v>271</v>
      </c>
      <c r="F138" s="87">
        <v>9000</v>
      </c>
      <c r="G138" s="43">
        <v>0.05</v>
      </c>
      <c r="H138" s="43">
        <v>0.84097222222222223</v>
      </c>
      <c r="I138" s="43">
        <v>0</v>
      </c>
      <c r="J138" s="43">
        <v>0</v>
      </c>
      <c r="K138" s="43">
        <v>0.89097222222222228</v>
      </c>
      <c r="L138" s="87">
        <v>0</v>
      </c>
      <c r="M138" s="87">
        <v>0</v>
      </c>
      <c r="N138" s="87">
        <v>0</v>
      </c>
      <c r="O138" s="43">
        <v>0</v>
      </c>
      <c r="P138" s="43">
        <v>0</v>
      </c>
      <c r="Q138" s="43">
        <v>0</v>
      </c>
      <c r="R138" s="87"/>
      <c r="S138" s="87"/>
    </row>
    <row r="139" spans="1:19" x14ac:dyDescent="0.25">
      <c r="A139" s="43"/>
      <c r="B139" s="43" t="s">
        <v>165</v>
      </c>
      <c r="C139" s="43" t="s">
        <v>134</v>
      </c>
      <c r="D139" s="47" t="s">
        <v>402</v>
      </c>
      <c r="E139" s="43" t="s">
        <v>134</v>
      </c>
      <c r="F139" s="87">
        <v>9000</v>
      </c>
      <c r="G139" s="43">
        <v>0.05</v>
      </c>
      <c r="H139" s="43">
        <v>0.84097222222222223</v>
      </c>
      <c r="I139" s="43">
        <v>0</v>
      </c>
      <c r="J139" s="43">
        <v>0</v>
      </c>
      <c r="K139" s="43">
        <v>0.89097222222222228</v>
      </c>
      <c r="L139" s="87">
        <v>0</v>
      </c>
      <c r="M139" s="87">
        <v>0</v>
      </c>
      <c r="N139" s="87">
        <v>0</v>
      </c>
      <c r="O139" s="43">
        <v>0</v>
      </c>
      <c r="P139" s="43">
        <v>0</v>
      </c>
      <c r="Q139" s="43">
        <v>0</v>
      </c>
      <c r="R139" s="87"/>
      <c r="S139" s="87"/>
    </row>
    <row r="140" spans="1:19" x14ac:dyDescent="0.25">
      <c r="A140" s="43"/>
      <c r="B140" s="43" t="s">
        <v>165</v>
      </c>
      <c r="C140" s="43" t="s">
        <v>134</v>
      </c>
      <c r="D140" s="47" t="s">
        <v>134</v>
      </c>
      <c r="E140" s="43" t="s">
        <v>134</v>
      </c>
      <c r="F140" s="87">
        <v>9000</v>
      </c>
      <c r="G140" s="43">
        <v>0.05</v>
      </c>
      <c r="H140" s="43">
        <v>0.84097222222222223</v>
      </c>
      <c r="I140" s="43">
        <v>0</v>
      </c>
      <c r="J140" s="43">
        <v>0</v>
      </c>
      <c r="K140" s="43">
        <v>0.89097222222222228</v>
      </c>
      <c r="L140" s="87">
        <v>0</v>
      </c>
      <c r="M140" s="87">
        <v>0</v>
      </c>
      <c r="N140" s="87">
        <v>0</v>
      </c>
      <c r="O140" s="43">
        <v>0</v>
      </c>
      <c r="P140" s="43">
        <v>0</v>
      </c>
      <c r="Q140" s="43">
        <v>0</v>
      </c>
      <c r="R140" s="87"/>
      <c r="S140" s="87"/>
    </row>
    <row r="141" spans="1:19" x14ac:dyDescent="0.25">
      <c r="A141" s="43"/>
      <c r="B141" s="43" t="s">
        <v>165</v>
      </c>
      <c r="C141" s="43" t="s">
        <v>270</v>
      </c>
      <c r="D141" s="47" t="s">
        <v>402</v>
      </c>
      <c r="E141" s="43" t="s">
        <v>270</v>
      </c>
      <c r="F141" s="87">
        <v>18000</v>
      </c>
      <c r="G141" s="43">
        <v>0.1</v>
      </c>
      <c r="H141" s="43">
        <v>1.6819444444444445</v>
      </c>
      <c r="I141" s="43">
        <v>0</v>
      </c>
      <c r="J141" s="43">
        <v>0.11458333333333333</v>
      </c>
      <c r="K141" s="43">
        <v>1.7819444444444446</v>
      </c>
      <c r="L141" s="87">
        <v>0.11458333333333333</v>
      </c>
      <c r="M141" s="87">
        <v>3221</v>
      </c>
      <c r="N141" s="87">
        <v>0</v>
      </c>
      <c r="O141" s="43">
        <v>3221</v>
      </c>
      <c r="P141" s="43">
        <v>0</v>
      </c>
      <c r="Q141" s="43">
        <v>3221</v>
      </c>
      <c r="R141" s="87"/>
      <c r="S141" s="87"/>
    </row>
    <row r="142" spans="1:19" x14ac:dyDescent="0.25">
      <c r="A142" s="43"/>
      <c r="B142" s="43" t="s">
        <v>165</v>
      </c>
      <c r="C142" s="43" t="s">
        <v>270</v>
      </c>
      <c r="D142" s="47" t="s">
        <v>275</v>
      </c>
      <c r="E142" s="43" t="s">
        <v>275</v>
      </c>
      <c r="F142" s="87">
        <v>9000</v>
      </c>
      <c r="G142" s="43">
        <v>0.05</v>
      </c>
      <c r="H142" s="43">
        <v>0.84097222222222223</v>
      </c>
      <c r="I142" s="43">
        <v>0</v>
      </c>
      <c r="J142" s="43">
        <v>0.11458333333333333</v>
      </c>
      <c r="K142" s="43">
        <v>0.89097222222222228</v>
      </c>
      <c r="L142" s="87">
        <v>0.11458333333333333</v>
      </c>
      <c r="M142" s="87">
        <v>3221</v>
      </c>
      <c r="N142" s="87">
        <v>0</v>
      </c>
      <c r="O142" s="43">
        <v>3221</v>
      </c>
      <c r="P142" s="43">
        <v>0</v>
      </c>
      <c r="Q142" s="43">
        <v>3221</v>
      </c>
      <c r="R142" s="87"/>
      <c r="S142" s="87"/>
    </row>
    <row r="143" spans="1:19" x14ac:dyDescent="0.25">
      <c r="A143" s="43"/>
      <c r="B143" s="43" t="s">
        <v>165</v>
      </c>
      <c r="C143" s="43" t="s">
        <v>270</v>
      </c>
      <c r="D143" s="47" t="s">
        <v>278</v>
      </c>
      <c r="E143" s="43" t="s">
        <v>278</v>
      </c>
      <c r="F143" s="87">
        <v>9000</v>
      </c>
      <c r="G143" s="43">
        <v>0.05</v>
      </c>
      <c r="H143" s="43">
        <v>0.84097222222222223</v>
      </c>
      <c r="I143" s="43">
        <v>0</v>
      </c>
      <c r="J143" s="43">
        <v>0</v>
      </c>
      <c r="K143" s="43">
        <v>0.89097222222222228</v>
      </c>
      <c r="L143" s="87">
        <v>0</v>
      </c>
      <c r="M143" s="87">
        <v>0</v>
      </c>
      <c r="N143" s="87">
        <v>0</v>
      </c>
      <c r="O143" s="43">
        <v>0</v>
      </c>
      <c r="P143" s="43">
        <v>0</v>
      </c>
      <c r="Q143" s="43">
        <v>0</v>
      </c>
      <c r="R143" s="87"/>
      <c r="S143" s="87"/>
    </row>
    <row r="144" spans="1:19" x14ac:dyDescent="0.25">
      <c r="A144" s="43"/>
      <c r="B144" s="43" t="s">
        <v>40</v>
      </c>
      <c r="C144" s="43" t="s">
        <v>364</v>
      </c>
      <c r="D144" s="47" t="s">
        <v>364</v>
      </c>
      <c r="E144" s="43" t="s">
        <v>40</v>
      </c>
      <c r="F144" s="87">
        <v>81000</v>
      </c>
      <c r="G144" s="43">
        <v>0.45</v>
      </c>
      <c r="H144" s="43">
        <v>7.5687499999999996</v>
      </c>
      <c r="I144" s="43">
        <v>0</v>
      </c>
      <c r="J144" s="43">
        <v>0</v>
      </c>
      <c r="K144" s="43">
        <v>8.0187500000000007</v>
      </c>
      <c r="L144" s="87">
        <v>0</v>
      </c>
      <c r="M144" s="87">
        <v>0</v>
      </c>
      <c r="N144" s="87">
        <v>0</v>
      </c>
      <c r="O144" s="43">
        <v>0</v>
      </c>
      <c r="P144" s="43">
        <v>0</v>
      </c>
      <c r="Q144" s="43">
        <v>0</v>
      </c>
      <c r="R144" s="87"/>
      <c r="S144" s="87"/>
    </row>
    <row r="145" spans="1:19" x14ac:dyDescent="0.25">
      <c r="A145" s="43"/>
      <c r="B145" s="43" t="s">
        <v>40</v>
      </c>
      <c r="C145" s="43" t="s">
        <v>273</v>
      </c>
      <c r="D145" s="47" t="s">
        <v>402</v>
      </c>
      <c r="E145" s="43" t="s">
        <v>273</v>
      </c>
      <c r="F145" s="87">
        <v>18000</v>
      </c>
      <c r="G145" s="43">
        <v>0.1</v>
      </c>
      <c r="H145" s="43">
        <v>1.6819444444444445</v>
      </c>
      <c r="I145" s="43">
        <v>0</v>
      </c>
      <c r="J145" s="43">
        <v>0</v>
      </c>
      <c r="K145" s="43">
        <v>1.7819444444444446</v>
      </c>
      <c r="L145" s="87">
        <v>0</v>
      </c>
      <c r="M145" s="87">
        <v>0</v>
      </c>
      <c r="N145" s="87">
        <v>0</v>
      </c>
      <c r="O145" s="43">
        <v>0</v>
      </c>
      <c r="P145" s="43">
        <v>0</v>
      </c>
      <c r="Q145" s="43">
        <v>0</v>
      </c>
      <c r="R145" s="87"/>
      <c r="S145" s="87"/>
    </row>
    <row r="146" spans="1:19" x14ac:dyDescent="0.25">
      <c r="A146" s="43"/>
      <c r="B146" s="43" t="s">
        <v>40</v>
      </c>
      <c r="C146" s="43" t="s">
        <v>273</v>
      </c>
      <c r="D146" s="47" t="s">
        <v>274</v>
      </c>
      <c r="E146" s="43" t="s">
        <v>274</v>
      </c>
      <c r="F146" s="87">
        <v>9000</v>
      </c>
      <c r="G146" s="43">
        <v>0.05</v>
      </c>
      <c r="H146" s="43">
        <v>0.84097222222222223</v>
      </c>
      <c r="I146" s="43">
        <v>0</v>
      </c>
      <c r="J146" s="43">
        <v>0</v>
      </c>
      <c r="K146" s="43">
        <v>0.89097222222222228</v>
      </c>
      <c r="L146" s="87">
        <v>0</v>
      </c>
      <c r="M146" s="87">
        <v>0</v>
      </c>
      <c r="N146" s="87">
        <v>0</v>
      </c>
      <c r="O146" s="43">
        <v>0</v>
      </c>
      <c r="P146" s="43">
        <v>0</v>
      </c>
      <c r="Q146" s="43">
        <v>0</v>
      </c>
      <c r="R146" s="87"/>
      <c r="S146" s="87"/>
    </row>
    <row r="147" spans="1:19" x14ac:dyDescent="0.25">
      <c r="A147" s="43"/>
      <c r="B147" s="43" t="s">
        <v>40</v>
      </c>
      <c r="C147" s="43" t="s">
        <v>273</v>
      </c>
      <c r="D147" s="47" t="s">
        <v>277</v>
      </c>
      <c r="E147" s="43" t="s">
        <v>277</v>
      </c>
      <c r="F147" s="87">
        <v>9000</v>
      </c>
      <c r="G147" s="43">
        <v>0.05</v>
      </c>
      <c r="H147" s="43">
        <v>0.84097222222222223</v>
      </c>
      <c r="I147" s="43">
        <v>0</v>
      </c>
      <c r="J147" s="43">
        <v>0</v>
      </c>
      <c r="K147" s="43">
        <v>0.89097222222222228</v>
      </c>
      <c r="L147" s="87">
        <v>0</v>
      </c>
      <c r="M147" s="87">
        <v>0</v>
      </c>
      <c r="N147" s="87">
        <v>0</v>
      </c>
      <c r="O147" s="43">
        <v>0</v>
      </c>
      <c r="P147" s="43">
        <v>0</v>
      </c>
      <c r="Q147" s="43">
        <v>0</v>
      </c>
      <c r="R147" s="87"/>
      <c r="S147" s="87"/>
    </row>
    <row r="148" spans="1:19" x14ac:dyDescent="0.25">
      <c r="A148" s="43"/>
      <c r="B148" s="43" t="s">
        <v>40</v>
      </c>
      <c r="C148" s="43" t="s">
        <v>270</v>
      </c>
      <c r="D148" s="47" t="s">
        <v>402</v>
      </c>
      <c r="E148" s="43" t="s">
        <v>270</v>
      </c>
      <c r="F148" s="87">
        <v>18000</v>
      </c>
      <c r="G148" s="43">
        <v>0.1</v>
      </c>
      <c r="H148" s="43">
        <v>1.6819444444444445</v>
      </c>
      <c r="I148" s="43">
        <v>0</v>
      </c>
      <c r="J148" s="43">
        <v>0</v>
      </c>
      <c r="K148" s="43">
        <v>1.7819444444444446</v>
      </c>
      <c r="L148" s="87">
        <v>0</v>
      </c>
      <c r="M148" s="87">
        <v>0</v>
      </c>
      <c r="N148" s="87">
        <v>0</v>
      </c>
      <c r="O148" s="43">
        <v>0</v>
      </c>
      <c r="P148" s="43">
        <v>0</v>
      </c>
      <c r="Q148" s="43">
        <v>0</v>
      </c>
      <c r="R148" s="87"/>
      <c r="S148" s="87"/>
    </row>
    <row r="149" spans="1:19" x14ac:dyDescent="0.25">
      <c r="A149" s="43"/>
      <c r="B149" s="43" t="s">
        <v>40</v>
      </c>
      <c r="C149" s="43" t="s">
        <v>270</v>
      </c>
      <c r="D149" s="47" t="s">
        <v>275</v>
      </c>
      <c r="E149" s="43" t="s">
        <v>275</v>
      </c>
      <c r="F149" s="87">
        <v>9000</v>
      </c>
      <c r="G149" s="43">
        <v>0.05</v>
      </c>
      <c r="H149" s="43">
        <v>0.84097222222222223</v>
      </c>
      <c r="I149" s="43">
        <v>0</v>
      </c>
      <c r="J149" s="43">
        <v>0</v>
      </c>
      <c r="K149" s="43">
        <v>0.89097222222222228</v>
      </c>
      <c r="L149" s="87">
        <v>0</v>
      </c>
      <c r="M149" s="87">
        <v>0</v>
      </c>
      <c r="N149" s="87">
        <v>0</v>
      </c>
      <c r="O149" s="43">
        <v>0</v>
      </c>
      <c r="P149" s="43">
        <v>0</v>
      </c>
      <c r="Q149" s="43">
        <v>0</v>
      </c>
      <c r="R149" s="87"/>
      <c r="S149" s="87"/>
    </row>
    <row r="150" spans="1:19" x14ac:dyDescent="0.25">
      <c r="A150" s="43"/>
      <c r="B150" s="43" t="s">
        <v>40</v>
      </c>
      <c r="C150" s="43" t="s">
        <v>270</v>
      </c>
      <c r="D150" s="47" t="s">
        <v>278</v>
      </c>
      <c r="E150" s="43" t="s">
        <v>278</v>
      </c>
      <c r="F150" s="87">
        <v>9000</v>
      </c>
      <c r="G150" s="43">
        <v>0.05</v>
      </c>
      <c r="H150" s="43">
        <v>0.84097222222222223</v>
      </c>
      <c r="I150" s="43">
        <v>0</v>
      </c>
      <c r="J150" s="43">
        <v>0</v>
      </c>
      <c r="K150" s="43">
        <v>0.89097222222222228</v>
      </c>
      <c r="L150" s="87">
        <v>0</v>
      </c>
      <c r="M150" s="87">
        <v>0</v>
      </c>
      <c r="N150" s="87">
        <v>0</v>
      </c>
      <c r="O150" s="43">
        <v>0</v>
      </c>
      <c r="P150" s="43">
        <v>0</v>
      </c>
      <c r="Q150" s="43">
        <v>0</v>
      </c>
      <c r="R150" s="87"/>
      <c r="S150" s="87"/>
    </row>
    <row r="151" spans="1:19" x14ac:dyDescent="0.25">
      <c r="A151" s="43"/>
      <c r="B151" s="43" t="s">
        <v>40</v>
      </c>
      <c r="C151" s="43" t="s">
        <v>271</v>
      </c>
      <c r="D151" s="47" t="s">
        <v>402</v>
      </c>
      <c r="E151" s="43" t="s">
        <v>271</v>
      </c>
      <c r="F151" s="87">
        <v>9000</v>
      </c>
      <c r="G151" s="43">
        <v>0.05</v>
      </c>
      <c r="H151" s="43">
        <v>0.84097222222222223</v>
      </c>
      <c r="I151" s="43">
        <v>0</v>
      </c>
      <c r="J151" s="43">
        <v>0</v>
      </c>
      <c r="K151" s="43">
        <v>0.89097222222222228</v>
      </c>
      <c r="L151" s="87">
        <v>0</v>
      </c>
      <c r="M151" s="87">
        <v>0</v>
      </c>
      <c r="N151" s="87">
        <v>0</v>
      </c>
      <c r="O151" s="43">
        <v>0</v>
      </c>
      <c r="P151" s="43">
        <v>0</v>
      </c>
      <c r="Q151" s="43">
        <v>0</v>
      </c>
      <c r="R151" s="87"/>
      <c r="S151" s="87"/>
    </row>
    <row r="152" spans="1:19" x14ac:dyDescent="0.25">
      <c r="A152" s="43"/>
      <c r="B152" s="43" t="s">
        <v>40</v>
      </c>
      <c r="C152" s="43" t="s">
        <v>271</v>
      </c>
      <c r="D152" s="47" t="s">
        <v>271</v>
      </c>
      <c r="E152" s="43" t="s">
        <v>271</v>
      </c>
      <c r="F152" s="87">
        <v>9000</v>
      </c>
      <c r="G152" s="43">
        <v>0.05</v>
      </c>
      <c r="H152" s="43">
        <v>0.84097222222222223</v>
      </c>
      <c r="I152" s="43">
        <v>0</v>
      </c>
      <c r="J152" s="43">
        <v>0</v>
      </c>
      <c r="K152" s="43">
        <v>0.89097222222222228</v>
      </c>
      <c r="L152" s="87">
        <v>0</v>
      </c>
      <c r="M152" s="87">
        <v>0</v>
      </c>
      <c r="N152" s="87">
        <v>0</v>
      </c>
      <c r="O152" s="43">
        <v>0</v>
      </c>
      <c r="P152" s="43">
        <v>0</v>
      </c>
      <c r="Q152" s="43">
        <v>0</v>
      </c>
      <c r="R152" s="87"/>
      <c r="S152" s="87"/>
    </row>
    <row r="153" spans="1:19" x14ac:dyDescent="0.25">
      <c r="A153" s="43"/>
      <c r="B153" s="43" t="s">
        <v>40</v>
      </c>
      <c r="C153" s="43" t="s">
        <v>269</v>
      </c>
      <c r="D153" s="47" t="s">
        <v>402</v>
      </c>
      <c r="E153" s="43" t="s">
        <v>269</v>
      </c>
      <c r="F153" s="87">
        <v>9000</v>
      </c>
      <c r="G153" s="43">
        <v>0.05</v>
      </c>
      <c r="H153" s="43">
        <v>0.84097222222222223</v>
      </c>
      <c r="I153" s="43">
        <v>0</v>
      </c>
      <c r="J153" s="43">
        <v>0</v>
      </c>
      <c r="K153" s="43">
        <v>0.89097222222222228</v>
      </c>
      <c r="L153" s="87">
        <v>0</v>
      </c>
      <c r="M153" s="87">
        <v>0</v>
      </c>
      <c r="N153" s="87">
        <v>0</v>
      </c>
      <c r="O153" s="43">
        <v>0</v>
      </c>
      <c r="P153" s="43">
        <v>0</v>
      </c>
      <c r="Q153" s="43">
        <v>0</v>
      </c>
      <c r="R153" s="87"/>
      <c r="S153" s="87"/>
    </row>
    <row r="154" spans="1:19" x14ac:dyDescent="0.25">
      <c r="A154" s="43"/>
      <c r="B154" s="43" t="s">
        <v>40</v>
      </c>
      <c r="C154" s="43" t="s">
        <v>269</v>
      </c>
      <c r="D154" s="47" t="s">
        <v>269</v>
      </c>
      <c r="E154" s="43" t="s">
        <v>269</v>
      </c>
      <c r="F154" s="87">
        <v>9000</v>
      </c>
      <c r="G154" s="43">
        <v>0.05</v>
      </c>
      <c r="H154" s="43">
        <v>0.84097222222222223</v>
      </c>
      <c r="I154" s="43">
        <v>0</v>
      </c>
      <c r="J154" s="43">
        <v>0</v>
      </c>
      <c r="K154" s="43">
        <v>0.89097222222222228</v>
      </c>
      <c r="L154" s="87">
        <v>0</v>
      </c>
      <c r="M154" s="87">
        <v>0</v>
      </c>
      <c r="N154" s="87">
        <v>0</v>
      </c>
      <c r="O154" s="43">
        <v>0</v>
      </c>
      <c r="P154" s="43">
        <v>0</v>
      </c>
      <c r="Q154" s="43">
        <v>0</v>
      </c>
      <c r="R154" s="87"/>
      <c r="S154" s="87"/>
    </row>
    <row r="155" spans="1:19" x14ac:dyDescent="0.25">
      <c r="A155" s="43"/>
      <c r="B155" s="43" t="s">
        <v>40</v>
      </c>
      <c r="C155" s="43" t="s">
        <v>134</v>
      </c>
      <c r="D155" s="47" t="s">
        <v>402</v>
      </c>
      <c r="E155" s="43" t="s">
        <v>134</v>
      </c>
      <c r="F155" s="87">
        <v>9000</v>
      </c>
      <c r="G155" s="43">
        <v>0.05</v>
      </c>
      <c r="H155" s="43">
        <v>0.84097222222222223</v>
      </c>
      <c r="I155" s="43">
        <v>0</v>
      </c>
      <c r="J155" s="43">
        <v>0</v>
      </c>
      <c r="K155" s="43">
        <v>0.89097222222222228</v>
      </c>
      <c r="L155" s="87">
        <v>0</v>
      </c>
      <c r="M155" s="87">
        <v>0</v>
      </c>
      <c r="N155" s="87">
        <v>0</v>
      </c>
      <c r="O155" s="43">
        <v>0</v>
      </c>
      <c r="P155" s="43">
        <v>0</v>
      </c>
      <c r="Q155" s="43">
        <v>0</v>
      </c>
      <c r="R155" s="87"/>
      <c r="S155" s="87"/>
    </row>
    <row r="156" spans="1:19" x14ac:dyDescent="0.25">
      <c r="A156" s="43"/>
      <c r="B156" s="43" t="s">
        <v>40</v>
      </c>
      <c r="C156" s="43" t="s">
        <v>134</v>
      </c>
      <c r="D156" s="47" t="s">
        <v>134</v>
      </c>
      <c r="E156" s="43" t="s">
        <v>134</v>
      </c>
      <c r="F156" s="87">
        <v>9000</v>
      </c>
      <c r="G156" s="43">
        <v>0.05</v>
      </c>
      <c r="H156" s="43">
        <v>0.84097222222222223</v>
      </c>
      <c r="I156" s="43">
        <v>0</v>
      </c>
      <c r="J156" s="43">
        <v>0</v>
      </c>
      <c r="K156" s="43">
        <v>0.89097222222222228</v>
      </c>
      <c r="L156" s="87">
        <v>0</v>
      </c>
      <c r="M156" s="87">
        <v>0</v>
      </c>
      <c r="N156" s="87">
        <v>0</v>
      </c>
      <c r="O156" s="43">
        <v>0</v>
      </c>
      <c r="P156" s="43">
        <v>0</v>
      </c>
      <c r="Q156" s="43">
        <v>0</v>
      </c>
      <c r="R156" s="87"/>
      <c r="S156" s="87"/>
    </row>
    <row r="157" spans="1:19" x14ac:dyDescent="0.25">
      <c r="A157" s="43"/>
      <c r="B157" s="43" t="s">
        <v>40</v>
      </c>
      <c r="C157" s="43" t="s">
        <v>272</v>
      </c>
      <c r="D157" s="47" t="s">
        <v>402</v>
      </c>
      <c r="E157" s="43" t="s">
        <v>272</v>
      </c>
      <c r="F157" s="87">
        <v>9000</v>
      </c>
      <c r="G157" s="43">
        <v>0.05</v>
      </c>
      <c r="H157" s="43">
        <v>0.84097222222222223</v>
      </c>
      <c r="I157" s="43">
        <v>0</v>
      </c>
      <c r="J157" s="43">
        <v>0</v>
      </c>
      <c r="K157" s="43">
        <v>0.89097222222222228</v>
      </c>
      <c r="L157" s="87">
        <v>0</v>
      </c>
      <c r="M157" s="87">
        <v>0</v>
      </c>
      <c r="N157" s="87">
        <v>0</v>
      </c>
      <c r="O157" s="43">
        <v>0</v>
      </c>
      <c r="P157" s="43">
        <v>0</v>
      </c>
      <c r="Q157" s="43">
        <v>0</v>
      </c>
      <c r="R157" s="87"/>
      <c r="S157" s="87"/>
    </row>
    <row r="158" spans="1:19" x14ac:dyDescent="0.25">
      <c r="A158" s="43"/>
      <c r="B158" s="43" t="s">
        <v>40</v>
      </c>
      <c r="C158" s="43" t="s">
        <v>272</v>
      </c>
      <c r="D158" s="47" t="s">
        <v>272</v>
      </c>
      <c r="E158" s="43" t="s">
        <v>272</v>
      </c>
      <c r="F158" s="87">
        <v>9000</v>
      </c>
      <c r="G158" s="43">
        <v>0.05</v>
      </c>
      <c r="H158" s="43">
        <v>0.84097222222222223</v>
      </c>
      <c r="I158" s="43">
        <v>0</v>
      </c>
      <c r="J158" s="43">
        <v>0</v>
      </c>
      <c r="K158" s="43">
        <v>0.89097222222222228</v>
      </c>
      <c r="L158" s="87">
        <v>0</v>
      </c>
      <c r="M158" s="87">
        <v>0</v>
      </c>
      <c r="N158" s="87">
        <v>0</v>
      </c>
      <c r="O158" s="43">
        <v>0</v>
      </c>
      <c r="P158" s="43">
        <v>0</v>
      </c>
      <c r="Q158" s="43">
        <v>0</v>
      </c>
      <c r="R158" s="87"/>
      <c r="S158" s="87"/>
    </row>
    <row r="159" spans="1:19" x14ac:dyDescent="0.25">
      <c r="A159" s="43"/>
      <c r="B159" s="43" t="s">
        <v>40</v>
      </c>
      <c r="C159" s="43" t="s">
        <v>267</v>
      </c>
      <c r="D159" s="47" t="s">
        <v>402</v>
      </c>
      <c r="E159" s="43" t="s">
        <v>267</v>
      </c>
      <c r="F159" s="87">
        <v>9000</v>
      </c>
      <c r="G159" s="43">
        <v>0.05</v>
      </c>
      <c r="H159" s="43">
        <v>0.84097222222222223</v>
      </c>
      <c r="I159" s="43">
        <v>0</v>
      </c>
      <c r="J159" s="43">
        <v>0</v>
      </c>
      <c r="K159" s="43">
        <v>0.89097222222222228</v>
      </c>
      <c r="L159" s="87">
        <v>0</v>
      </c>
      <c r="M159" s="87">
        <v>0</v>
      </c>
      <c r="N159" s="87">
        <v>0</v>
      </c>
      <c r="O159" s="43">
        <v>0</v>
      </c>
      <c r="P159" s="43">
        <v>0</v>
      </c>
      <c r="Q159" s="43">
        <v>0</v>
      </c>
      <c r="R159" s="87"/>
      <c r="S159" s="87"/>
    </row>
    <row r="160" spans="1:19" x14ac:dyDescent="0.25">
      <c r="A160" s="43"/>
      <c r="B160" s="43" t="s">
        <v>40</v>
      </c>
      <c r="C160" s="43" t="s">
        <v>267</v>
      </c>
      <c r="D160" s="47" t="s">
        <v>268</v>
      </c>
      <c r="E160" s="43" t="s">
        <v>268</v>
      </c>
      <c r="F160" s="87">
        <v>9000</v>
      </c>
      <c r="G160" s="43">
        <v>0.05</v>
      </c>
      <c r="H160" s="43">
        <v>0.84097222222222223</v>
      </c>
      <c r="I160" s="43">
        <v>0</v>
      </c>
      <c r="J160" s="43">
        <v>0</v>
      </c>
      <c r="K160" s="43">
        <v>0.89097222222222228</v>
      </c>
      <c r="L160" s="87">
        <v>0</v>
      </c>
      <c r="M160" s="87">
        <v>0</v>
      </c>
      <c r="N160" s="87">
        <v>0</v>
      </c>
      <c r="O160" s="43">
        <v>0</v>
      </c>
      <c r="P160" s="43">
        <v>0</v>
      </c>
      <c r="Q160" s="43">
        <v>0</v>
      </c>
      <c r="R160" s="87"/>
      <c r="S160" s="87"/>
    </row>
    <row r="161" spans="1:20" x14ac:dyDescent="0.25">
      <c r="A161" s="43"/>
      <c r="B161" s="43"/>
      <c r="C161" s="47"/>
      <c r="D161" s="47"/>
      <c r="E161" s="47"/>
      <c r="F161" s="87"/>
      <c r="G161" s="47"/>
      <c r="H161" s="87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</row>
    <row r="162" spans="1:20" x14ac:dyDescent="0.25">
      <c r="A162" s="43"/>
      <c r="B162" s="43"/>
      <c r="C162" s="47"/>
      <c r="D162" s="47"/>
      <c r="E162" s="47"/>
      <c r="F162" s="87"/>
      <c r="G162" s="47"/>
      <c r="H162" s="87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</row>
    <row r="163" spans="1:20" x14ac:dyDescent="0.25">
      <c r="A163" s="43"/>
      <c r="B163" s="43"/>
      <c r="C163" s="47"/>
      <c r="D163" s="47"/>
      <c r="E163" s="47"/>
      <c r="F163" s="87"/>
      <c r="G163" s="47"/>
      <c r="H163" s="87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</row>
    <row r="164" spans="1:20" x14ac:dyDescent="0.25">
      <c r="A164" s="43"/>
      <c r="B164" s="43"/>
      <c r="C164" s="47"/>
      <c r="D164" s="47"/>
      <c r="E164" s="47"/>
      <c r="F164" s="87"/>
      <c r="G164" s="47"/>
      <c r="H164" s="87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</row>
    <row r="165" spans="1:20" x14ac:dyDescent="0.25">
      <c r="A165" s="43"/>
      <c r="B165" s="43"/>
      <c r="C165" s="47"/>
      <c r="D165" s="47"/>
      <c r="E165" s="47"/>
      <c r="F165" s="87"/>
      <c r="G165" s="47"/>
      <c r="H165" s="87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</row>
    <row r="166" spans="1:20" x14ac:dyDescent="0.25">
      <c r="A166" s="43"/>
      <c r="B166" s="43"/>
      <c r="C166" s="47"/>
      <c r="D166" s="47"/>
      <c r="E166" s="47"/>
      <c r="F166" s="87"/>
      <c r="G166" s="47"/>
      <c r="H166" s="87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</row>
    <row r="167" spans="1:20" x14ac:dyDescent="0.25">
      <c r="A167" s="43"/>
      <c r="B167" s="43"/>
      <c r="C167" s="47"/>
      <c r="D167" s="47"/>
      <c r="E167" s="47"/>
      <c r="F167" s="87"/>
      <c r="G167" s="47"/>
      <c r="H167" s="87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</row>
    <row r="168" spans="1:20" x14ac:dyDescent="0.25">
      <c r="A168" s="43"/>
      <c r="B168" s="43"/>
      <c r="C168" s="47"/>
      <c r="D168" s="47"/>
      <c r="E168" s="47"/>
      <c r="F168" s="87"/>
      <c r="G168" s="47"/>
      <c r="H168" s="87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</row>
    <row r="169" spans="1:20" x14ac:dyDescent="0.25">
      <c r="B169" s="43"/>
      <c r="C169" s="47"/>
      <c r="D169" s="47"/>
      <c r="E169" s="47"/>
      <c r="F169" s="87"/>
      <c r="G169" s="47"/>
      <c r="H169" s="87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</row>
    <row r="170" spans="1:20" x14ac:dyDescent="0.25">
      <c r="B170" s="43"/>
      <c r="C170" s="47"/>
      <c r="D170" s="47"/>
      <c r="E170" s="47"/>
      <c r="F170" s="87"/>
      <c r="G170" s="47"/>
      <c r="H170" s="87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</row>
    <row r="171" spans="1:20" x14ac:dyDescent="0.25">
      <c r="B171" s="43"/>
      <c r="C171" s="47"/>
      <c r="D171" s="47"/>
      <c r="E171" s="47"/>
      <c r="F171" s="87"/>
      <c r="G171" s="47"/>
      <c r="H171" s="87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</row>
    <row r="172" spans="1:20" x14ac:dyDescent="0.25">
      <c r="B172" s="43"/>
      <c r="C172" s="47"/>
      <c r="D172" s="47"/>
      <c r="E172" s="47"/>
      <c r="F172" s="87"/>
      <c r="G172" s="47"/>
      <c r="H172" s="87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</row>
    <row r="173" spans="1:20" x14ac:dyDescent="0.25">
      <c r="B173" s="43"/>
      <c r="C173" s="47"/>
      <c r="D173" s="47"/>
      <c r="E173" s="47"/>
      <c r="F173" s="87"/>
      <c r="G173" s="47"/>
      <c r="H173" s="87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</row>
    <row r="174" spans="1:20" x14ac:dyDescent="0.25">
      <c r="B174" s="43"/>
      <c r="C174" s="47"/>
      <c r="D174" s="47"/>
      <c r="E174" s="47"/>
      <c r="F174" s="87"/>
      <c r="G174" s="47"/>
      <c r="H174" s="87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</row>
    <row r="175" spans="1:20" x14ac:dyDescent="0.25">
      <c r="B175" s="43"/>
      <c r="C175" s="47"/>
      <c r="D175" s="47"/>
      <c r="E175" s="47"/>
      <c r="F175" s="87"/>
      <c r="G175" s="47"/>
      <c r="H175" s="87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</row>
    <row r="176" spans="1:20" x14ac:dyDescent="0.25">
      <c r="B176" s="43"/>
      <c r="C176" s="47"/>
      <c r="D176" s="47"/>
      <c r="E176" s="47"/>
      <c r="F176" s="87"/>
      <c r="G176" s="47"/>
      <c r="H176" s="87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</row>
    <row r="177" spans="2:20" x14ac:dyDescent="0.25">
      <c r="B177" s="43"/>
      <c r="C177" s="47"/>
      <c r="D177" s="47"/>
      <c r="E177" s="47"/>
      <c r="F177" s="87"/>
      <c r="G177" s="47"/>
      <c r="H177" s="87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</row>
    <row r="178" spans="2:20" x14ac:dyDescent="0.25">
      <c r="B178" s="43"/>
      <c r="C178" s="47"/>
      <c r="D178" s="47"/>
      <c r="E178" s="47"/>
      <c r="F178" s="87"/>
      <c r="G178" s="47"/>
      <c r="H178" s="87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</row>
    <row r="179" spans="2:20" x14ac:dyDescent="0.25">
      <c r="B179" s="43"/>
      <c r="C179" s="47"/>
      <c r="D179" s="47"/>
      <c r="E179" s="47"/>
      <c r="F179" s="87"/>
      <c r="G179" s="47"/>
      <c r="H179" s="87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</row>
    <row r="180" spans="2:20" x14ac:dyDescent="0.25">
      <c r="B180" s="43"/>
      <c r="C180" s="47"/>
      <c r="D180" s="47"/>
      <c r="E180" s="47"/>
      <c r="F180" s="87"/>
      <c r="G180" s="47"/>
      <c r="H180" s="87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</row>
    <row r="181" spans="2:20" x14ac:dyDescent="0.25">
      <c r="B181" s="43"/>
      <c r="C181" s="47"/>
      <c r="D181" s="47"/>
      <c r="E181" s="47"/>
      <c r="F181" s="87"/>
      <c r="G181" s="47"/>
      <c r="H181" s="87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</row>
    <row r="182" spans="2:20" x14ac:dyDescent="0.25">
      <c r="B182" s="43"/>
      <c r="C182" s="47"/>
      <c r="D182" s="47"/>
      <c r="E182" s="47"/>
      <c r="F182" s="87"/>
      <c r="G182" s="47"/>
      <c r="H182" s="87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</row>
    <row r="183" spans="2:20" x14ac:dyDescent="0.25">
      <c r="B183" s="43"/>
      <c r="C183" s="47"/>
      <c r="D183" s="47"/>
      <c r="E183" s="47"/>
      <c r="F183" s="87"/>
      <c r="G183" s="47"/>
      <c r="H183" s="87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</row>
    <row r="184" spans="2:20" x14ac:dyDescent="0.25">
      <c r="B184" s="43"/>
      <c r="C184" s="47"/>
      <c r="D184" s="47"/>
      <c r="E184" s="47"/>
      <c r="F184" s="87"/>
      <c r="G184" s="47"/>
      <c r="H184" s="87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</row>
    <row r="185" spans="2:20" x14ac:dyDescent="0.25">
      <c r="B185" s="43"/>
      <c r="C185" s="47"/>
      <c r="D185" s="47"/>
      <c r="E185" s="47"/>
      <c r="F185" s="87"/>
      <c r="G185" s="47"/>
      <c r="H185" s="87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</row>
    <row r="186" spans="2:20" x14ac:dyDescent="0.25">
      <c r="B186" s="43"/>
      <c r="C186" s="47"/>
      <c r="D186" s="47"/>
      <c r="E186" s="47"/>
      <c r="F186" s="87"/>
      <c r="G186" s="47"/>
      <c r="H186" s="87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</row>
    <row r="187" spans="2:20" x14ac:dyDescent="0.25">
      <c r="B187" s="43"/>
      <c r="C187" s="47"/>
      <c r="D187" s="47"/>
      <c r="E187" s="47"/>
      <c r="F187" s="87"/>
      <c r="G187" s="47"/>
      <c r="H187" s="87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</row>
    <row r="188" spans="2:20" x14ac:dyDescent="0.25">
      <c r="B188" s="43"/>
      <c r="C188" s="47"/>
      <c r="D188" s="47"/>
      <c r="E188" s="47"/>
      <c r="F188" s="87"/>
      <c r="G188" s="47"/>
      <c r="H188" s="87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</row>
    <row r="189" spans="2:20" x14ac:dyDescent="0.25">
      <c r="B189" s="43"/>
      <c r="C189" s="47"/>
      <c r="D189" s="47"/>
      <c r="E189" s="47"/>
      <c r="F189" s="87"/>
      <c r="G189" s="47"/>
      <c r="H189" s="87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</row>
    <row r="190" spans="2:20" x14ac:dyDescent="0.25">
      <c r="B190" s="43"/>
      <c r="C190" s="47"/>
      <c r="D190" s="47"/>
      <c r="E190" s="47"/>
      <c r="F190" s="87"/>
      <c r="G190" s="47"/>
      <c r="H190" s="87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</row>
    <row r="191" spans="2:20" x14ac:dyDescent="0.25">
      <c r="B191" s="43"/>
      <c r="C191" s="47"/>
      <c r="D191" s="47"/>
      <c r="E191" s="47"/>
      <c r="F191" s="87"/>
      <c r="G191" s="47"/>
      <c r="H191" s="87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</row>
    <row r="192" spans="2:20" x14ac:dyDescent="0.25">
      <c r="B192" s="43"/>
      <c r="C192" s="47"/>
      <c r="D192" s="47"/>
      <c r="E192" s="47"/>
      <c r="F192" s="87"/>
      <c r="G192" s="47"/>
      <c r="H192" s="87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</row>
    <row r="193" spans="2:20" x14ac:dyDescent="0.25">
      <c r="B193" s="43"/>
      <c r="C193" s="47"/>
      <c r="D193" s="47"/>
      <c r="E193" s="47"/>
      <c r="F193" s="87"/>
      <c r="G193" s="47"/>
      <c r="H193" s="87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</row>
    <row r="194" spans="2:20" x14ac:dyDescent="0.25">
      <c r="B194" s="43"/>
      <c r="C194" s="47"/>
      <c r="D194" s="47"/>
      <c r="E194" s="47"/>
      <c r="F194" s="87"/>
      <c r="G194" s="47"/>
      <c r="H194" s="87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</row>
    <row r="195" spans="2:20" x14ac:dyDescent="0.25">
      <c r="B195" s="43"/>
      <c r="C195" s="47"/>
      <c r="D195" s="47"/>
      <c r="E195" s="47"/>
      <c r="F195" s="87"/>
      <c r="G195" s="47"/>
      <c r="H195" s="87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</row>
    <row r="196" spans="2:20" x14ac:dyDescent="0.25">
      <c r="B196" s="43"/>
      <c r="C196" s="47"/>
      <c r="D196" s="47"/>
      <c r="E196" s="47"/>
      <c r="F196" s="87"/>
      <c r="G196" s="47"/>
      <c r="H196" s="87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</row>
    <row r="197" spans="2:20" x14ac:dyDescent="0.25">
      <c r="B197" s="43"/>
      <c r="C197" s="47"/>
      <c r="D197" s="47"/>
      <c r="E197" s="47"/>
      <c r="F197" s="87"/>
      <c r="G197" s="47"/>
      <c r="H197" s="87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</row>
    <row r="198" spans="2:20" x14ac:dyDescent="0.25">
      <c r="B198" s="43"/>
      <c r="C198" s="47"/>
      <c r="D198" s="47"/>
      <c r="E198" s="47"/>
      <c r="F198" s="87"/>
      <c r="G198" s="47"/>
      <c r="H198" s="87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</row>
    <row r="199" spans="2:20" x14ac:dyDescent="0.25">
      <c r="B199" s="43"/>
      <c r="C199" s="47"/>
      <c r="D199" s="47"/>
      <c r="E199" s="47"/>
      <c r="F199" s="87"/>
      <c r="G199" s="47"/>
      <c r="H199" s="87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</row>
    <row r="200" spans="2:20" x14ac:dyDescent="0.25">
      <c r="B200" s="43"/>
      <c r="C200" s="47"/>
      <c r="D200" s="47"/>
      <c r="E200" s="47"/>
      <c r="F200" s="87"/>
      <c r="G200" s="47"/>
      <c r="H200" s="87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</row>
    <row r="201" spans="2:20" x14ac:dyDescent="0.25">
      <c r="B201" s="43"/>
      <c r="C201" s="47"/>
      <c r="D201" s="47"/>
      <c r="E201" s="47"/>
      <c r="F201" s="87"/>
      <c r="G201" s="47"/>
      <c r="H201" s="87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</row>
    <row r="202" spans="2:20" x14ac:dyDescent="0.25">
      <c r="B202" s="43"/>
      <c r="C202" s="47"/>
      <c r="D202" s="47"/>
      <c r="E202" s="47"/>
      <c r="F202" s="87"/>
      <c r="G202" s="47"/>
      <c r="H202" s="87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</row>
    <row r="203" spans="2:20" x14ac:dyDescent="0.25">
      <c r="B203" s="43"/>
      <c r="C203" s="47"/>
      <c r="D203" s="47"/>
      <c r="E203" s="47"/>
      <c r="F203" s="87"/>
      <c r="G203" s="47"/>
      <c r="H203" s="87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</row>
    <row r="204" spans="2:20" x14ac:dyDescent="0.25">
      <c r="B204" s="43"/>
      <c r="C204" s="47"/>
      <c r="D204" s="47"/>
      <c r="E204" s="47"/>
      <c r="F204" s="87"/>
      <c r="G204" s="47"/>
      <c r="H204" s="87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</row>
    <row r="205" spans="2:20" x14ac:dyDescent="0.25">
      <c r="B205" s="43"/>
      <c r="C205" s="47"/>
      <c r="D205" s="47"/>
      <c r="E205" s="47"/>
      <c r="F205" s="87"/>
      <c r="G205" s="47"/>
      <c r="H205" s="87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</row>
    <row r="206" spans="2:20" x14ac:dyDescent="0.25">
      <c r="B206" s="43"/>
      <c r="C206" s="47"/>
      <c r="D206" s="47"/>
      <c r="E206" s="47"/>
      <c r="F206" s="87"/>
      <c r="G206" s="47"/>
      <c r="H206" s="87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</row>
    <row r="207" spans="2:20" x14ac:dyDescent="0.25">
      <c r="B207" s="43"/>
      <c r="C207" s="47"/>
      <c r="D207" s="47"/>
      <c r="E207" s="47"/>
      <c r="F207" s="87"/>
      <c r="G207" s="47"/>
      <c r="H207" s="87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</row>
    <row r="208" spans="2:20" x14ac:dyDescent="0.25">
      <c r="B208" s="43"/>
      <c r="C208" s="47"/>
      <c r="D208" s="47"/>
      <c r="E208" s="47"/>
      <c r="F208" s="87"/>
      <c r="G208" s="47"/>
      <c r="H208" s="87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</row>
    <row r="209" spans="2:20" x14ac:dyDescent="0.25">
      <c r="B209" s="43"/>
      <c r="C209" s="47"/>
      <c r="D209" s="47"/>
      <c r="E209" s="47"/>
      <c r="F209" s="87"/>
      <c r="G209" s="47"/>
      <c r="H209" s="87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</row>
    <row r="210" spans="2:20" x14ac:dyDescent="0.25">
      <c r="B210" s="43"/>
      <c r="C210" s="47"/>
      <c r="D210" s="47"/>
      <c r="E210" s="47"/>
      <c r="F210" s="87"/>
      <c r="G210" s="47"/>
      <c r="H210" s="87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</row>
    <row r="211" spans="2:20" x14ac:dyDescent="0.25">
      <c r="B211" s="43"/>
      <c r="C211" s="47"/>
      <c r="D211" s="47"/>
      <c r="E211" s="47"/>
      <c r="F211" s="87"/>
      <c r="G211" s="47"/>
      <c r="H211" s="87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</row>
    <row r="212" spans="2:20" x14ac:dyDescent="0.25">
      <c r="B212" s="43"/>
      <c r="C212" s="47"/>
      <c r="D212" s="47"/>
      <c r="E212" s="47"/>
      <c r="F212" s="87"/>
      <c r="G212" s="47"/>
      <c r="H212" s="87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</row>
    <row r="213" spans="2:20" x14ac:dyDescent="0.25">
      <c r="B213" s="43"/>
      <c r="C213" s="47"/>
      <c r="D213" s="47"/>
      <c r="E213" s="47"/>
      <c r="F213" s="87"/>
      <c r="G213" s="47"/>
      <c r="H213" s="87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</row>
    <row r="214" spans="2:20" x14ac:dyDescent="0.25">
      <c r="B214" s="43"/>
      <c r="C214" s="47"/>
      <c r="D214" s="47"/>
      <c r="E214" s="47"/>
      <c r="F214" s="87"/>
      <c r="G214" s="47"/>
      <c r="H214" s="87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</row>
    <row r="215" spans="2:20" x14ac:dyDescent="0.25">
      <c r="B215" s="43"/>
      <c r="C215" s="47"/>
      <c r="D215" s="47"/>
      <c r="E215" s="47"/>
      <c r="F215" s="87"/>
      <c r="G215" s="47"/>
      <c r="H215" s="87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</row>
    <row r="216" spans="2:20" x14ac:dyDescent="0.25">
      <c r="B216" s="43"/>
      <c r="C216" s="47"/>
      <c r="D216" s="47"/>
      <c r="E216" s="47"/>
      <c r="F216" s="87"/>
      <c r="G216" s="47"/>
      <c r="H216" s="87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</row>
    <row r="217" spans="2:20" x14ac:dyDescent="0.25">
      <c r="B217" s="43"/>
      <c r="C217" s="47"/>
      <c r="D217" s="47"/>
      <c r="E217" s="47"/>
      <c r="F217" s="87"/>
      <c r="G217" s="47"/>
      <c r="H217" s="87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</row>
    <row r="218" spans="2:20" x14ac:dyDescent="0.25">
      <c r="B218" s="43"/>
      <c r="C218" s="47"/>
      <c r="D218" s="47"/>
      <c r="E218" s="47"/>
      <c r="F218" s="87"/>
      <c r="G218" s="47"/>
      <c r="H218" s="87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</row>
    <row r="219" spans="2:20" x14ac:dyDescent="0.25">
      <c r="B219" s="43"/>
      <c r="C219" s="47"/>
      <c r="D219" s="47"/>
      <c r="E219" s="47"/>
      <c r="F219" s="87"/>
      <c r="G219" s="47"/>
      <c r="H219" s="87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</row>
    <row r="220" spans="2:20" x14ac:dyDescent="0.25">
      <c r="B220" s="43"/>
      <c r="C220" s="47"/>
      <c r="D220" s="47"/>
      <c r="E220" s="47"/>
      <c r="F220" s="87"/>
      <c r="G220" s="47"/>
      <c r="H220" s="87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</row>
    <row r="221" spans="2:20" x14ac:dyDescent="0.25">
      <c r="B221" s="43"/>
      <c r="C221" s="47"/>
      <c r="D221" s="47"/>
      <c r="E221" s="47"/>
      <c r="F221" s="87"/>
      <c r="G221" s="47"/>
      <c r="H221" s="87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</row>
    <row r="222" spans="2:20" x14ac:dyDescent="0.25">
      <c r="B222" s="43"/>
      <c r="C222" s="47"/>
      <c r="D222" s="47"/>
      <c r="E222" s="47"/>
      <c r="F222" s="87"/>
      <c r="G222" s="47"/>
      <c r="H222" s="87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</row>
    <row r="223" spans="2:20" x14ac:dyDescent="0.25">
      <c r="B223" s="43"/>
      <c r="C223" s="47"/>
      <c r="D223" s="47"/>
      <c r="E223" s="47"/>
      <c r="F223" s="87"/>
      <c r="G223" s="47"/>
      <c r="H223" s="87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</row>
    <row r="224" spans="2:20" x14ac:dyDescent="0.25">
      <c r="B224" s="43"/>
      <c r="C224" s="47"/>
      <c r="D224" s="47"/>
      <c r="E224" s="47"/>
      <c r="F224" s="87"/>
      <c r="G224" s="47"/>
      <c r="H224" s="87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</row>
    <row r="225" spans="2:20" x14ac:dyDescent="0.25">
      <c r="B225" s="43"/>
      <c r="C225" s="47"/>
      <c r="D225" s="47"/>
      <c r="E225" s="47"/>
      <c r="F225" s="87"/>
      <c r="G225" s="47"/>
      <c r="H225" s="87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</row>
    <row r="226" spans="2:20" x14ac:dyDescent="0.25">
      <c r="T226" s="43"/>
    </row>
    <row r="227" spans="2:20" x14ac:dyDescent="0.25">
      <c r="T227" s="43"/>
    </row>
    <row r="228" spans="2:20" x14ac:dyDescent="0.25">
      <c r="T228" s="43"/>
    </row>
    <row r="229" spans="2:20" x14ac:dyDescent="0.25">
      <c r="T229" s="43"/>
    </row>
    <row r="230" spans="2:20" x14ac:dyDescent="0.25">
      <c r="T230" s="43"/>
    </row>
    <row r="231" spans="2:20" x14ac:dyDescent="0.25">
      <c r="T231" s="43"/>
    </row>
    <row r="232" spans="2:20" x14ac:dyDescent="0.25">
      <c r="T232" s="43"/>
    </row>
    <row r="233" spans="2:20" x14ac:dyDescent="0.25">
      <c r="T233" s="43"/>
    </row>
    <row r="234" spans="2:20" x14ac:dyDescent="0.25">
      <c r="T234" s="43"/>
    </row>
  </sheetData>
  <conditionalFormatting sqref="B6">
    <cfRule type="expression" dxfId="1504" priority="4">
      <formula>$B$2:$B$225=IsBold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280EBAB0-D6C7-4F3D-8524-462E93F9F52E}">
  <ds:schemaRefs/>
</ds:datastoreItem>
</file>

<file path=customXml/itemProps2.xml><?xml version="1.0" encoding="utf-8"?>
<ds:datastoreItem xmlns:ds="http://schemas.openxmlformats.org/officeDocument/2006/customXml" ds:itemID="{06BD91E6-22A5-462E-910F-A615338FC250}">
  <ds:schemaRefs/>
</ds:datastoreItem>
</file>

<file path=customXml/itemProps3.xml><?xml version="1.0" encoding="utf-8"?>
<ds:datastoreItem xmlns:ds="http://schemas.openxmlformats.org/officeDocument/2006/customXml" ds:itemID="{6F5DE76A-4B46-422B-84C1-6E7E881BE86B}">
  <ds:schemaRefs/>
</ds:datastoreItem>
</file>

<file path=customXml/itemProps4.xml><?xml version="1.0" encoding="utf-8"?>
<ds:datastoreItem xmlns:ds="http://schemas.openxmlformats.org/officeDocument/2006/customXml" ds:itemID="{72B2FDF6-20CC-4EBA-9449-9538ED24F692}">
  <ds:schemaRefs/>
</ds:datastoreItem>
</file>

<file path=customXml/itemProps5.xml><?xml version="1.0" encoding="utf-8"?>
<ds:datastoreItem xmlns:ds="http://schemas.openxmlformats.org/officeDocument/2006/customXml" ds:itemID="{E958E4E3-33AB-41F7-890D-B5A5205C6529}">
  <ds:schemaRefs/>
</ds:datastoreItem>
</file>

<file path=customXml/itemProps6.xml><?xml version="1.0" encoding="utf-8"?>
<ds:datastoreItem xmlns:ds="http://schemas.openxmlformats.org/officeDocument/2006/customXml" ds:itemID="{FD0A6C44-AF39-4A4B-BFD7-0AE76E98E9F7}">
  <ds:schemaRefs/>
</ds:datastoreItem>
</file>

<file path=customXml/itemProps7.xml><?xml version="1.0" encoding="utf-8"?>
<ds:datastoreItem xmlns:ds="http://schemas.openxmlformats.org/officeDocument/2006/customXml" ds:itemID="{FBCA5601-7EE3-4582-8AA0-D8C74DE15EDE}">
  <ds:schemaRefs/>
</ds:datastoreItem>
</file>

<file path=customXml/itemProps8.xml><?xml version="1.0" encoding="utf-8"?>
<ds:datastoreItem xmlns:ds="http://schemas.openxmlformats.org/officeDocument/2006/customXml" ds:itemID="{8992F573-327A-4CD7-A508-A661FDED7744}">
  <ds:schemaRefs/>
</ds:datastoreItem>
</file>

<file path=customXml/itemProps9.xml><?xml version="1.0" encoding="utf-8"?>
<ds:datastoreItem xmlns:ds="http://schemas.openxmlformats.org/officeDocument/2006/customXml" ds:itemID="{37BB6F2E-760D-46ED-A5E2-C4FE4CCE4ABD}">
  <ds:schemaRefs/>
</ds:datastoreItem>
</file>

<file path=customXml/itemProps10.xml><?xml version="1.0" encoding="utf-8"?>
<ds:datastoreItem xmlns:ds="http://schemas.openxmlformats.org/officeDocument/2006/customXml" ds:itemID="{751F8F0E-E739-4DE5-AEDB-A7BE39175BD6}">
  <ds:schemaRefs/>
</ds:datastoreItem>
</file>

<file path=customXml/itemProps11.xml><?xml version="1.0" encoding="utf-8"?>
<ds:datastoreItem xmlns:ds="http://schemas.openxmlformats.org/officeDocument/2006/customXml" ds:itemID="{FE71495F-0B72-4872-8105-6EA8524FB8EA}">
  <ds:schemaRefs/>
</ds:datastoreItem>
</file>

<file path=customXml/itemProps12.xml><?xml version="1.0" encoding="utf-8"?>
<ds:datastoreItem xmlns:ds="http://schemas.openxmlformats.org/officeDocument/2006/customXml" ds:itemID="{C1C78B04-2E82-4E69-ACFA-1E8840679033}">
  <ds:schemaRefs/>
</ds:datastoreItem>
</file>

<file path=customXml/itemProps13.xml><?xml version="1.0" encoding="utf-8"?>
<ds:datastoreItem xmlns:ds="http://schemas.openxmlformats.org/officeDocument/2006/customXml" ds:itemID="{381C3125-BE14-44E4-B3A7-CBBE1D4067C2}">
  <ds:schemaRefs/>
</ds:datastoreItem>
</file>

<file path=customXml/itemProps14.xml><?xml version="1.0" encoding="utf-8"?>
<ds:datastoreItem xmlns:ds="http://schemas.openxmlformats.org/officeDocument/2006/customXml" ds:itemID="{91C36F66-5058-4696-973F-F858E5D43C23}">
  <ds:schemaRefs/>
</ds:datastoreItem>
</file>

<file path=customXml/itemProps15.xml><?xml version="1.0" encoding="utf-8"?>
<ds:datastoreItem xmlns:ds="http://schemas.openxmlformats.org/officeDocument/2006/customXml" ds:itemID="{F01F06F7-14F2-4255-BBCB-B2CC9E7401A4}">
  <ds:schemaRefs/>
</ds:datastoreItem>
</file>

<file path=customXml/itemProps16.xml><?xml version="1.0" encoding="utf-8"?>
<ds:datastoreItem xmlns:ds="http://schemas.openxmlformats.org/officeDocument/2006/customXml" ds:itemID="{E4A8C763-2B65-4041-BD2B-0EB2E1CE9BDF}">
  <ds:schemaRefs/>
</ds:datastoreItem>
</file>

<file path=customXml/itemProps17.xml><?xml version="1.0" encoding="utf-8"?>
<ds:datastoreItem xmlns:ds="http://schemas.openxmlformats.org/officeDocument/2006/customXml" ds:itemID="{FE6D700A-3B06-4E11-AC97-F2BE3D47ACBA}">
  <ds:schemaRefs/>
</ds:datastoreItem>
</file>

<file path=customXml/itemProps18.xml><?xml version="1.0" encoding="utf-8"?>
<ds:datastoreItem xmlns:ds="http://schemas.openxmlformats.org/officeDocument/2006/customXml" ds:itemID="{8AE408D0-AA16-424A-ACD9-85B846F34B28}">
  <ds:schemaRefs/>
</ds:datastoreItem>
</file>

<file path=customXml/itemProps19.xml><?xml version="1.0" encoding="utf-8"?>
<ds:datastoreItem xmlns:ds="http://schemas.openxmlformats.org/officeDocument/2006/customXml" ds:itemID="{4FBD1FF2-3050-47F2-8AFA-BDA17A6EAE8E}">
  <ds:schemaRefs/>
</ds:datastoreItem>
</file>

<file path=customXml/itemProps20.xml><?xml version="1.0" encoding="utf-8"?>
<ds:datastoreItem xmlns:ds="http://schemas.openxmlformats.org/officeDocument/2006/customXml" ds:itemID="{82933FF2-63DF-4400-AAC0-CA21A5FF35CC}">
  <ds:schemaRefs/>
</ds:datastoreItem>
</file>

<file path=customXml/itemProps21.xml><?xml version="1.0" encoding="utf-8"?>
<ds:datastoreItem xmlns:ds="http://schemas.openxmlformats.org/officeDocument/2006/customXml" ds:itemID="{3EA0AC82-CE9C-4DC3-A870-08CF52D54FAB}">
  <ds:schemaRefs/>
</ds:datastoreItem>
</file>

<file path=customXml/itemProps22.xml><?xml version="1.0" encoding="utf-8"?>
<ds:datastoreItem xmlns:ds="http://schemas.openxmlformats.org/officeDocument/2006/customXml" ds:itemID="{46D3F9FB-6BBF-4D47-BEBF-8A14DC8A7F41}">
  <ds:schemaRefs/>
</ds:datastoreItem>
</file>

<file path=customXml/itemProps23.xml><?xml version="1.0" encoding="utf-8"?>
<ds:datastoreItem xmlns:ds="http://schemas.openxmlformats.org/officeDocument/2006/customXml" ds:itemID="{D5DB2B10-9A30-49D7-B35F-8D0C28BE1552}">
  <ds:schemaRefs/>
</ds:datastoreItem>
</file>

<file path=customXml/itemProps24.xml><?xml version="1.0" encoding="utf-8"?>
<ds:datastoreItem xmlns:ds="http://schemas.openxmlformats.org/officeDocument/2006/customXml" ds:itemID="{0A20D4D1-CA6A-4287-85D5-0928AEDC4B4A}">
  <ds:schemaRefs/>
</ds:datastoreItem>
</file>

<file path=customXml/itemProps25.xml><?xml version="1.0" encoding="utf-8"?>
<ds:datastoreItem xmlns:ds="http://schemas.openxmlformats.org/officeDocument/2006/customXml" ds:itemID="{BB4924AF-FD7B-499B-AB7D-B3EA6196895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bc_nl_kh</vt:lpstr>
      <vt:lpstr>loaixd</vt:lpstr>
      <vt:lpstr>nguon_nx</vt:lpstr>
      <vt:lpstr>Sheet2</vt:lpstr>
      <vt:lpstr>socai</vt:lpstr>
      <vt:lpstr>nhiem_vu</vt:lpstr>
      <vt:lpstr>bc_nxt</vt:lpstr>
      <vt:lpstr>pivot</vt:lpstr>
      <vt:lpstr>raw-data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2024-10-17T09:01:01Z</cp:lastPrinted>
  <dcterms:created xsi:type="dcterms:W3CDTF">2024-10-09T04:37:03Z</dcterms:created>
  <dcterms:modified xsi:type="dcterms:W3CDTF">2024-11-19T05:52:12Z</dcterms:modified>
</cp:coreProperties>
</file>